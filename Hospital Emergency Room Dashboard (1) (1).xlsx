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309FC4F2-D6FD-433E-B4CB-7D6FDE8856A9}" xr6:coauthVersionLast="47" xr6:coauthVersionMax="47" xr10:uidLastSave="{00000000-0000-0000-0000-000000000000}"/>
  <bookViews>
    <workbookView xWindow="-108" yWindow="-108" windowWidth="23256" windowHeight="13176" activeTab="4" xr2:uid="{81AE4EF7-E49C-4173-82B3-1605E3373299}"/>
  </bookViews>
  <sheets>
    <sheet name="Pivot Report" sheetId="1" r:id="rId1"/>
    <sheet name="Dashboard" sheetId="2" r:id="rId2"/>
    <sheet name="P. Satisfaction Rate" sheetId="5" r:id="rId3"/>
    <sheet name="Avg.Wait Time" sheetId="4" r:id="rId4"/>
    <sheet name="Daily patient" sheetId="3" r:id="rId5"/>
  </sheets>
  <definedNames>
    <definedName name="_xlnm.Print_Area" localSheetId="1">Dashboard!$A$1:$M$17</definedName>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c77b388-b5a8-49fd-b7fb-d3746d3729a1" name="Hospital Emergency Room Data" connection="Query - Hospital Emergency Room Data"/>
          <x15:modelTable id="Calendar_Table_33dd6969-718b-4627-95cd-a64042bf441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4" i="1" l="1"/>
  <c r="B64" i="1"/>
  <c r="B65" i="1"/>
  <c r="A6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739424-5FB8-46DB-BB41-569AE663D169}" name="Query - Calendar_Table" description="Connection to the 'Calendar_Table' query in the workbook." type="100" refreshedVersion="8" minRefreshableVersion="5">
    <extLst>
      <ext xmlns:x15="http://schemas.microsoft.com/office/spreadsheetml/2010/11/main" uri="{DE250136-89BD-433C-8126-D09CA5730AF9}">
        <x15:connection id="6661aae5-27bb-42ba-8458-2750902670e1"/>
      </ext>
    </extLst>
  </connection>
  <connection id="2" xr16:uid="{74DD7C80-7B56-48D0-A572-B896BC3B793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e090d95-2fbe-423c-aabd-3746b3b6eafe"/>
      </ext>
    </extLst>
  </connection>
  <connection id="3" xr16:uid="{3CCF762A-8697-482F-BAD2-94A60603122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<sst xmlns="http://schemas.openxmlformats.org/spreadsheetml/2006/main" count="169" uniqueCount="84">
  <si>
    <t>Distinct Count of Patient Id</t>
  </si>
  <si>
    <t>No. of patient</t>
  </si>
  <si>
    <t>Average of Patient Waittime</t>
  </si>
  <si>
    <t>Average of Patient Satisfaction Score</t>
  </si>
  <si>
    <t>Grand Total</t>
  </si>
  <si>
    <t>Row Labels</t>
  </si>
  <si>
    <t>Daily no.of patient</t>
  </si>
  <si>
    <t>Avg. wait time</t>
  </si>
  <si>
    <t>Avg. Satisfaction Score</t>
  </si>
  <si>
    <t>Female</t>
  </si>
  <si>
    <t>Male</t>
  </si>
  <si>
    <t>Count of Patient Gender</t>
  </si>
  <si>
    <t>0-09</t>
  </si>
  <si>
    <t>10-19</t>
  </si>
  <si>
    <t>20-29</t>
  </si>
  <si>
    <t>30-39</t>
  </si>
  <si>
    <t>40-49</t>
  </si>
  <si>
    <t>50-59</t>
  </si>
  <si>
    <t>60-69</t>
  </si>
  <si>
    <t>70-79</t>
  </si>
  <si>
    <t>Count of Patient Age</t>
  </si>
  <si>
    <t>Delay</t>
  </si>
  <si>
    <t>Ontime</t>
  </si>
  <si>
    <t>Count of Patient attend Status</t>
  </si>
  <si>
    <t>Patient attend Status</t>
  </si>
  <si>
    <t xml:space="preserve"> Patient by Age group</t>
  </si>
  <si>
    <t>Cardiology</t>
  </si>
  <si>
    <t>Gastroenterology</t>
  </si>
  <si>
    <t>General Practice</t>
  </si>
  <si>
    <t>Neurology</t>
  </si>
  <si>
    <t>None</t>
  </si>
  <si>
    <t>Orthopedics</t>
  </si>
  <si>
    <t>Physiotherapy</t>
  </si>
  <si>
    <t>Renal</t>
  </si>
  <si>
    <t>Count of Department Referral</t>
  </si>
  <si>
    <t>Patient by Department Referral</t>
  </si>
  <si>
    <t>African American</t>
  </si>
  <si>
    <t>Asian</t>
  </si>
  <si>
    <t>Native American/Alaska Native</t>
  </si>
  <si>
    <t>Declined to Identify</t>
  </si>
  <si>
    <t>White</t>
  </si>
  <si>
    <t>Pacific Islander</t>
  </si>
  <si>
    <t>Two or More Races</t>
  </si>
  <si>
    <t>Count of Patient Race</t>
  </si>
  <si>
    <t>Admitted</t>
  </si>
  <si>
    <t>Not Admitted</t>
  </si>
  <si>
    <t>Count of Patient Admission Flag</t>
  </si>
  <si>
    <t>Patient admission status</t>
  </si>
  <si>
    <t>Admission Status</t>
  </si>
  <si>
    <t>No. of Patient</t>
  </si>
  <si>
    <t>Status %</t>
  </si>
  <si>
    <t>Count of Patient Admission Flag2</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</si>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</sst>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u/>
      <sz val="11"/>
      <color theme="10"/>
      <name val="Aptos Narrow"/>
      <family val="2"/>
      <scheme val="minor"/>
    </font>
    <font>
      <b/>
      <sz val="11"/>
      <color theme="1"/>
      <name val="Arial"/>
      <family val="2"/>
    </font>
    <font>
      <sz val="20"/>
      <color theme="1"/>
      <name val="Aptos Narrow"/>
      <family val="2"/>
      <scheme val="minor"/>
    </font>
    <font>
      <sz val="8"/>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2" tint="-0.89999084444715716"/>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pivotButton="1"/>
    <xf numFmtId="2" fontId="0" fillId="0" borderId="0" xfId="0" applyNumberFormat="1"/>
    <xf numFmtId="0" fontId="0" fillId="2" borderId="0" xfId="0" applyFill="1"/>
    <xf numFmtId="0" fontId="2" fillId="2" borderId="0" xfId="0" applyFont="1" applyFill="1"/>
    <xf numFmtId="0" fontId="0" fillId="0" borderId="0" xfId="0" applyAlignment="1">
      <alignment horizontal="left"/>
    </xf>
    <xf numFmtId="0" fontId="3" fillId="0" borderId="0" xfId="0" applyFont="1"/>
    <xf numFmtId="0" fontId="4" fillId="0" borderId="0" xfId="0" applyFont="1"/>
    <xf numFmtId="0" fontId="1" fillId="2" borderId="0" xfId="1" quotePrefix="1" applyFill="1"/>
    <xf numFmtId="1" fontId="0" fillId="0" borderId="0" xfId="0" applyNumberFormat="1"/>
    <xf numFmtId="10" fontId="0" fillId="0" borderId="0" xfId="0" applyNumberFormat="1"/>
    <xf numFmtId="0" fontId="5" fillId="3" borderId="0" xfId="0" applyFont="1" applyFill="1" applyAlignment="1">
      <alignment horizontal="center"/>
    </xf>
    <xf numFmtId="0" fontId="0" fillId="0" borderId="0" xfId="0" applyAlignment="1">
      <alignment horizontal="center"/>
    </xf>
  </cellXfs>
  <cellStyles count="2">
    <cellStyle name="Hyperlink" xfId="1" builtinId="8"/>
    <cellStyle name="Normal" xfId="0" builtinId="0"/>
  </cellStyles>
  <dxfs count="20">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font>
        <b/>
        <color theme="1"/>
      </font>
      <border>
        <bottom style="thin">
          <color theme="4"/>
        </bottom>
        <vertical/>
        <horizontal/>
      </border>
    </dxf>
    <dxf>
      <font>
        <sz val="8"/>
        <color theme="1"/>
      </font>
      <fill>
        <patternFill>
          <bgColor theme="9" tint="0.7999816888943144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tyle" pivot="0" table="0" count="10" xr9:uid="{4CA0EE49-4DC1-4DD8-858A-F8568032C3B9}">
      <tableStyleElement type="wholeTable" dxfId="19"/>
      <tableStyleElement type="headerRow" dxfId="18"/>
    </tableStyle>
  </tableStyles>
  <colors>
    <mruColors>
      <color rgb="FFFF6600"/>
      <color rgb="FF99FF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Report!PivotTable11</c:name>
    <c:fmtId val="21"/>
  </c:pivotSource>
  <c:chart>
    <c:autoTitleDeleted val="0"/>
    <c:pivotFmts>
      <c:pivotFmt>
        <c:idx val="0"/>
        <c:spPr>
          <a:solidFill>
            <a:schemeClr val="accent1"/>
          </a:solidFill>
          <a:ln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mpd="sng">
            <a:solidFill>
              <a:schemeClr val="bg1"/>
            </a:solidFill>
          </a:ln>
          <a:effectLst/>
        </c:spPr>
        <c:dLbl>
          <c:idx val="0"/>
          <c:layout>
            <c:manualLayout>
              <c:x val="1.441717710158732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cmpd="sng">
            <a:solidFill>
              <a:schemeClr val="bg1"/>
            </a:solidFill>
          </a:ln>
          <a:effectLst/>
        </c:spPr>
        <c:dLbl>
          <c:idx val="0"/>
          <c:layout>
            <c:manualLayout>
              <c:x val="0"/>
              <c:y val="-1.1146929912563482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9529523237954183"/>
                  <c:h val="0.39596124435407992"/>
                </c:manualLayout>
              </c15:layout>
              <c15:showDataLabelsRange val="1"/>
            </c:ext>
          </c:extLst>
        </c:dLbl>
      </c:pivotFmt>
    </c:pivotFmts>
    <c:plotArea>
      <c:layout>
        <c:manualLayout>
          <c:layoutTarget val="inner"/>
          <c:xMode val="edge"/>
          <c:yMode val="edge"/>
          <c:x val="4.9250960463390935E-3"/>
          <c:y val="8.4652203864426276E-2"/>
          <c:w val="0.45596120000862761"/>
          <c:h val="0.89814814814814814"/>
        </c:manualLayout>
      </c:layout>
      <c:barChart>
        <c:barDir val="bar"/>
        <c:grouping val="clustered"/>
        <c:varyColors val="0"/>
        <c:ser>
          <c:idx val="0"/>
          <c:order val="0"/>
          <c:tx>
            <c:strRef>
              <c:f>'Pivot Report'!$B$58</c:f>
              <c:strCache>
                <c:ptCount val="1"/>
                <c:pt idx="0">
                  <c:v>Count of Patient Admission Flag</c:v>
                </c:pt>
              </c:strCache>
            </c:strRef>
          </c:tx>
          <c:spPr>
            <a:solidFill>
              <a:schemeClr val="accent1"/>
            </a:solidFill>
            <a:ln cmpd="sng">
              <a:solidFill>
                <a:schemeClr val="bg1"/>
              </a:solidFill>
            </a:ln>
            <a:effectLst/>
          </c:spPr>
          <c:invertIfNegative val="0"/>
          <c:dPt>
            <c:idx val="0"/>
            <c:invertIfNegative val="0"/>
            <c:bubble3D val="0"/>
            <c:extLst>
              <c:ext xmlns:c16="http://schemas.microsoft.com/office/drawing/2014/chart" uri="{C3380CC4-5D6E-409C-BE32-E72D297353CC}">
                <c16:uniqueId val="{00000000-A9E0-462F-AD75-9CC11001448E}"/>
              </c:ext>
            </c:extLst>
          </c:dPt>
          <c:dPt>
            <c:idx val="1"/>
            <c:invertIfNegative val="0"/>
            <c:bubble3D val="0"/>
            <c:extLst>
              <c:ext xmlns:c16="http://schemas.microsoft.com/office/drawing/2014/chart" uri="{C3380CC4-5D6E-409C-BE32-E72D297353CC}">
                <c16:uniqueId val="{00000001-A9E0-462F-AD75-9CC11001448E}"/>
              </c:ext>
            </c:extLst>
          </c:dPt>
          <c:dLbls>
            <c:dLbl>
              <c:idx val="0"/>
              <c:layout>
                <c:manualLayout>
                  <c:x val="1.4417177101587322E-2"/>
                  <c:y val="0"/>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A9E0-462F-AD75-9CC11001448E}"/>
                </c:ext>
              </c:extLst>
            </c:dLbl>
            <c:dLbl>
              <c:idx val="1"/>
              <c:layout>
                <c:manualLayout>
                  <c:x val="0"/>
                  <c:y val="-1.1146929912563482E-6"/>
                </c:manualLayout>
              </c:layout>
              <c:showLegendKey val="0"/>
              <c:showVal val="0"/>
              <c:showCatName val="0"/>
              <c:showSerName val="0"/>
              <c:showPercent val="0"/>
              <c:showBubbleSize val="0"/>
              <c:extLst>
                <c:ext xmlns:c15="http://schemas.microsoft.com/office/drawing/2012/chart" uri="{CE6537A1-D6FC-4f65-9D91-7224C49458BB}">
                  <c15:layout>
                    <c:manualLayout>
                      <c:w val="0.19529523237954183"/>
                      <c:h val="0.39596124435407992"/>
                    </c:manualLayout>
                  </c15:layout>
                  <c15:showDataLabelsRange val="1"/>
                </c:ext>
                <c:ext xmlns:c16="http://schemas.microsoft.com/office/drawing/2014/chart" uri="{C3380CC4-5D6E-409C-BE32-E72D297353CC}">
                  <c16:uniqueId val="{00000001-A9E0-462F-AD75-9CC1100144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Report'!$A$59:$A$61</c:f>
              <c:strCache>
                <c:ptCount val="2"/>
                <c:pt idx="0">
                  <c:v>Admitted</c:v>
                </c:pt>
                <c:pt idx="1">
                  <c:v>Not Admitted</c:v>
                </c:pt>
              </c:strCache>
            </c:strRef>
          </c:cat>
          <c:val>
            <c:numRef>
              <c:f>'Pivot Report'!$B$59:$B$61</c:f>
              <c:numCache>
                <c:formatCode>0</c:formatCode>
                <c:ptCount val="2"/>
                <c:pt idx="0">
                  <c:v>253</c:v>
                </c:pt>
                <c:pt idx="1">
                  <c:v>253</c:v>
                </c:pt>
              </c:numCache>
            </c:numRef>
          </c:val>
          <c:extLst>
            <c:ext xmlns:c16="http://schemas.microsoft.com/office/drawing/2014/chart" uri="{C3380CC4-5D6E-409C-BE32-E72D297353CC}">
              <c16:uniqueId val="{0000000E-48C2-40C3-B9BF-E004BD4DE7AB}"/>
            </c:ext>
          </c:extLst>
        </c:ser>
        <c:ser>
          <c:idx val="1"/>
          <c:order val="1"/>
          <c:tx>
            <c:strRef>
              <c:f>'Pivot Report'!$C$58</c:f>
              <c:strCache>
                <c:ptCount val="1"/>
                <c:pt idx="0">
                  <c:v>Count of Patient Admission Flag2</c:v>
                </c:pt>
              </c:strCache>
            </c:strRef>
          </c:tx>
          <c:spPr>
            <a:noFill/>
            <a:ln>
              <a:noFill/>
            </a:ln>
            <a:effectLst/>
          </c:spPr>
          <c:invertIfNegative val="0"/>
          <c:cat>
            <c:strRef>
              <c:f>'Pivot Report'!$A$59:$A$61</c:f>
              <c:strCache>
                <c:ptCount val="2"/>
                <c:pt idx="0">
                  <c:v>Admitted</c:v>
                </c:pt>
                <c:pt idx="1">
                  <c:v>Not Admitted</c:v>
                </c:pt>
              </c:strCache>
            </c:strRef>
          </c:cat>
          <c:val>
            <c:numRef>
              <c:f>'Pivot Report'!$C$59:$C$61</c:f>
              <c:numCache>
                <c:formatCode>0.00%</c:formatCode>
                <c:ptCount val="2"/>
                <c:pt idx="0">
                  <c:v>0.5</c:v>
                </c:pt>
                <c:pt idx="1">
                  <c:v>0.5</c:v>
                </c:pt>
              </c:numCache>
            </c:numRef>
          </c:val>
          <c:extLst>
            <c:ext xmlns:c16="http://schemas.microsoft.com/office/drawing/2014/chart" uri="{C3380CC4-5D6E-409C-BE32-E72D297353CC}">
              <c16:uniqueId val="{0000000F-48C2-40C3-B9BF-E004BD4DE7AB}"/>
            </c:ext>
          </c:extLst>
        </c:ser>
        <c:dLbls>
          <c:showLegendKey val="0"/>
          <c:showVal val="0"/>
          <c:showCatName val="0"/>
          <c:showSerName val="0"/>
          <c:showPercent val="0"/>
          <c:showBubbleSize val="0"/>
        </c:dLbls>
        <c:gapWidth val="0"/>
        <c:axId val="276127920"/>
        <c:axId val="276134640"/>
      </c:barChart>
      <c:catAx>
        <c:axId val="276127920"/>
        <c:scaling>
          <c:orientation val="minMax"/>
        </c:scaling>
        <c:delete val="1"/>
        <c:axPos val="l"/>
        <c:numFmt formatCode="General" sourceLinked="1"/>
        <c:majorTickMark val="none"/>
        <c:minorTickMark val="none"/>
        <c:tickLblPos val="nextTo"/>
        <c:crossAx val="276134640"/>
        <c:crosses val="autoZero"/>
        <c:auto val="1"/>
        <c:lblAlgn val="ctr"/>
        <c:lblOffset val="100"/>
        <c:noMultiLvlLbl val="0"/>
      </c:catAx>
      <c:valAx>
        <c:axId val="276134640"/>
        <c:scaling>
          <c:orientation val="minMax"/>
        </c:scaling>
        <c:delete val="1"/>
        <c:axPos val="b"/>
        <c:numFmt formatCode="0" sourceLinked="1"/>
        <c:majorTickMark val="none"/>
        <c:minorTickMark val="none"/>
        <c:tickLblPos val="nextTo"/>
        <c:crossAx val="276127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65519159947364"/>
          <c:y val="0.17032632783418547"/>
          <c:w val="0.83920481140323777"/>
          <c:h val="0.5204287865578187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01BD-4178-9F04-74F2384A91CD}"/>
            </c:ext>
          </c:extLst>
        </c:ser>
        <c:dLbls>
          <c:showLegendKey val="0"/>
          <c:showVal val="0"/>
          <c:showCatName val="0"/>
          <c:showSerName val="0"/>
          <c:showPercent val="0"/>
          <c:showBubbleSize val="0"/>
        </c:dLbls>
        <c:axId val="1111785024"/>
        <c:axId val="1111796544"/>
      </c:areaChart>
      <c:catAx>
        <c:axId val="1111785024"/>
        <c:scaling>
          <c:orientation val="minMax"/>
        </c:scaling>
        <c:delete val="1"/>
        <c:axPos val="b"/>
        <c:numFmt formatCode="General" sourceLinked="1"/>
        <c:majorTickMark val="out"/>
        <c:minorTickMark val="none"/>
        <c:tickLblPos val="nextTo"/>
        <c:crossAx val="1111796544"/>
        <c:crosses val="autoZero"/>
        <c:auto val="1"/>
        <c:lblAlgn val="ctr"/>
        <c:lblOffset val="100"/>
        <c:noMultiLvlLbl val="0"/>
      </c:catAx>
      <c:valAx>
        <c:axId val="1111796544"/>
        <c:scaling>
          <c:orientation val="minMax"/>
        </c:scaling>
        <c:delete val="1"/>
        <c:axPos val="l"/>
        <c:numFmt formatCode="General" sourceLinked="1"/>
        <c:majorTickMark val="none"/>
        <c:minorTickMark val="none"/>
        <c:tickLblPos val="nextTo"/>
        <c:crossAx val="1111785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Report!PivotTable10</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5196992415846316E-2"/>
          <c:w val="0.92113088265099596"/>
          <c:h val="0.9448030075841537"/>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9-Mar</c:v>
                </c:pt>
                <c:pt idx="1">
                  <c:v>8-Mar</c:v>
                </c:pt>
                <c:pt idx="2">
                  <c:v>7-Mar</c:v>
                </c:pt>
                <c:pt idx="3">
                  <c:v>6-Mar</c:v>
                </c:pt>
                <c:pt idx="4">
                  <c:v>5-Mar</c:v>
                </c:pt>
                <c:pt idx="5">
                  <c:v>4-Mar</c:v>
                </c:pt>
                <c:pt idx="6">
                  <c:v>3-Mar</c:v>
                </c:pt>
                <c:pt idx="7">
                  <c:v>31-Mar</c:v>
                </c:pt>
                <c:pt idx="8">
                  <c:v>30-Mar</c:v>
                </c:pt>
                <c:pt idx="9">
                  <c:v>2-Mar</c:v>
                </c:pt>
                <c:pt idx="10">
                  <c:v>29-Mar</c:v>
                </c:pt>
                <c:pt idx="11">
                  <c:v>28-Mar</c:v>
                </c:pt>
                <c:pt idx="12">
                  <c:v>27-Mar</c:v>
                </c:pt>
                <c:pt idx="13">
                  <c:v>26-Mar</c:v>
                </c:pt>
                <c:pt idx="14">
                  <c:v>25-Mar</c:v>
                </c:pt>
                <c:pt idx="15">
                  <c:v>24-Mar</c:v>
                </c:pt>
                <c:pt idx="16">
                  <c:v>23-Mar</c:v>
                </c:pt>
                <c:pt idx="17">
                  <c:v>22-Mar</c:v>
                </c:pt>
                <c:pt idx="18">
                  <c:v>21-Mar</c:v>
                </c:pt>
                <c:pt idx="19">
                  <c:v>20-Mar</c:v>
                </c:pt>
                <c:pt idx="20">
                  <c:v>1-Mar</c:v>
                </c:pt>
                <c:pt idx="21">
                  <c:v>19-Mar</c:v>
                </c:pt>
                <c:pt idx="22">
                  <c:v>18-Mar</c:v>
                </c:pt>
                <c:pt idx="23">
                  <c:v>17-Mar</c:v>
                </c:pt>
                <c:pt idx="24">
                  <c:v>16-Mar</c:v>
                </c:pt>
                <c:pt idx="25">
                  <c:v>15-Mar</c:v>
                </c:pt>
                <c:pt idx="26">
                  <c:v>14-Mar</c:v>
                </c:pt>
                <c:pt idx="27">
                  <c:v>13-Mar</c:v>
                </c:pt>
                <c:pt idx="28">
                  <c:v>12-Mar</c:v>
                </c:pt>
                <c:pt idx="29">
                  <c:v>11-Mar</c:v>
                </c:pt>
                <c:pt idx="30">
                  <c:v>10-Mar</c:v>
                </c:pt>
              </c:strCache>
            </c:strRef>
          </c:cat>
          <c:val>
            <c:numRef>
              <c:f>'Pivot Report'!$J$5:$J$36</c:f>
              <c:numCache>
                <c:formatCode>0.00</c:formatCode>
                <c:ptCount val="31"/>
                <c:pt idx="0">
                  <c:v>33</c:v>
                </c:pt>
                <c:pt idx="1">
                  <c:v>34.071428571428569</c:v>
                </c:pt>
                <c:pt idx="2">
                  <c:v>36.846153846153847</c:v>
                </c:pt>
                <c:pt idx="3">
                  <c:v>31.8125</c:v>
                </c:pt>
                <c:pt idx="4">
                  <c:v>31.571428571428573</c:v>
                </c:pt>
                <c:pt idx="5">
                  <c:v>35.071428571428569</c:v>
                </c:pt>
                <c:pt idx="6">
                  <c:v>36.291666666666664</c:v>
                </c:pt>
                <c:pt idx="7">
                  <c:v>39.055555555555557</c:v>
                </c:pt>
                <c:pt idx="8">
                  <c:v>30.571428571428573</c:v>
                </c:pt>
                <c:pt idx="9">
                  <c:v>33.708333333333336</c:v>
                </c:pt>
                <c:pt idx="10">
                  <c:v>32.666666666666664</c:v>
                </c:pt>
                <c:pt idx="11">
                  <c:v>30.294117647058822</c:v>
                </c:pt>
                <c:pt idx="12">
                  <c:v>39.411764705882355</c:v>
                </c:pt>
                <c:pt idx="13">
                  <c:v>37</c:v>
                </c:pt>
                <c:pt idx="14">
                  <c:v>39.833333333333336</c:v>
                </c:pt>
                <c:pt idx="15">
                  <c:v>35.863636363636367</c:v>
                </c:pt>
                <c:pt idx="16">
                  <c:v>25.2</c:v>
                </c:pt>
                <c:pt idx="17">
                  <c:v>34.0625</c:v>
                </c:pt>
                <c:pt idx="18">
                  <c:v>28.5</c:v>
                </c:pt>
                <c:pt idx="19">
                  <c:v>31.25</c:v>
                </c:pt>
                <c:pt idx="20">
                  <c:v>34.526315789473685</c:v>
                </c:pt>
                <c:pt idx="21">
                  <c:v>39</c:v>
                </c:pt>
                <c:pt idx="22">
                  <c:v>44.090909090909093</c:v>
                </c:pt>
                <c:pt idx="23">
                  <c:v>42.25</c:v>
                </c:pt>
                <c:pt idx="24">
                  <c:v>43.166666666666664</c:v>
                </c:pt>
                <c:pt idx="25">
                  <c:v>33.92307692307692</c:v>
                </c:pt>
                <c:pt idx="26">
                  <c:v>34.071428571428569</c:v>
                </c:pt>
                <c:pt idx="27">
                  <c:v>40.46153846153846</c:v>
                </c:pt>
                <c:pt idx="28">
                  <c:v>42.615384615384613</c:v>
                </c:pt>
                <c:pt idx="29">
                  <c:v>42.05</c:v>
                </c:pt>
                <c:pt idx="30">
                  <c:v>40.222222222222221</c:v>
                </c:pt>
              </c:numCache>
            </c:numRef>
          </c:val>
          <c:extLst>
            <c:ext xmlns:c16="http://schemas.microsoft.com/office/drawing/2014/chart" uri="{C3380CC4-5D6E-409C-BE32-E72D297353CC}">
              <c16:uniqueId val="{00000004-E2ED-48E7-B7E3-8393C2209699}"/>
            </c:ext>
          </c:extLst>
        </c:ser>
        <c:dLbls>
          <c:showLegendKey val="0"/>
          <c:showVal val="0"/>
          <c:showCatName val="0"/>
          <c:showSerName val="0"/>
          <c:showPercent val="0"/>
          <c:showBubbleSize val="0"/>
        </c:dLbls>
        <c:axId val="1142981248"/>
        <c:axId val="1142982688"/>
      </c:areaChart>
      <c:catAx>
        <c:axId val="1142981248"/>
        <c:scaling>
          <c:orientation val="minMax"/>
        </c:scaling>
        <c:delete val="1"/>
        <c:axPos val="b"/>
        <c:numFmt formatCode="General" sourceLinked="1"/>
        <c:majorTickMark val="out"/>
        <c:minorTickMark val="none"/>
        <c:tickLblPos val="nextTo"/>
        <c:crossAx val="1142982688"/>
        <c:crosses val="autoZero"/>
        <c:auto val="1"/>
        <c:lblAlgn val="ctr"/>
        <c:lblOffset val="100"/>
        <c:noMultiLvlLbl val="0"/>
      </c:catAx>
      <c:valAx>
        <c:axId val="1142982688"/>
        <c:scaling>
          <c:orientation val="minMax"/>
        </c:scaling>
        <c:delete val="1"/>
        <c:axPos val="l"/>
        <c:numFmt formatCode="0.00" sourceLinked="1"/>
        <c:majorTickMark val="none"/>
        <c:minorTickMark val="none"/>
        <c:tickLblPos val="nextTo"/>
        <c:crossAx val="114298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Report!PivotTable13</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41915709410656E-2"/>
          <c:y val="0.10185111995245581"/>
          <c:w val="0.88922225941789124"/>
          <c:h val="0.89814822398217842"/>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9-Mar</c:v>
                </c:pt>
                <c:pt idx="1">
                  <c:v>8-Mar</c:v>
                </c:pt>
                <c:pt idx="2">
                  <c:v>7-Mar</c:v>
                </c:pt>
                <c:pt idx="3">
                  <c:v>6-Mar</c:v>
                </c:pt>
                <c:pt idx="4">
                  <c:v>5-Mar</c:v>
                </c:pt>
                <c:pt idx="5">
                  <c:v>4-Mar</c:v>
                </c:pt>
                <c:pt idx="6">
                  <c:v>3-Mar</c:v>
                </c:pt>
                <c:pt idx="7">
                  <c:v>31-Mar</c:v>
                </c:pt>
                <c:pt idx="8">
                  <c:v>30-Mar</c:v>
                </c:pt>
                <c:pt idx="9">
                  <c:v>2-Mar</c:v>
                </c:pt>
                <c:pt idx="10">
                  <c:v>29-Mar</c:v>
                </c:pt>
                <c:pt idx="11">
                  <c:v>28-Mar</c:v>
                </c:pt>
                <c:pt idx="12">
                  <c:v>27-Mar</c:v>
                </c:pt>
                <c:pt idx="13">
                  <c:v>26-Mar</c:v>
                </c:pt>
                <c:pt idx="14">
                  <c:v>25-Mar</c:v>
                </c:pt>
                <c:pt idx="15">
                  <c:v>24-Mar</c:v>
                </c:pt>
                <c:pt idx="16">
                  <c:v>23-Mar</c:v>
                </c:pt>
                <c:pt idx="17">
                  <c:v>22-Mar</c:v>
                </c:pt>
                <c:pt idx="18">
                  <c:v>21-Mar</c:v>
                </c:pt>
                <c:pt idx="19">
                  <c:v>20-Mar</c:v>
                </c:pt>
                <c:pt idx="20">
                  <c:v>1-Mar</c:v>
                </c:pt>
                <c:pt idx="21">
                  <c:v>19-Mar</c:v>
                </c:pt>
                <c:pt idx="22">
                  <c:v>18-Mar</c:v>
                </c:pt>
                <c:pt idx="23">
                  <c:v>17-Mar</c:v>
                </c:pt>
                <c:pt idx="24">
                  <c:v>16-Mar</c:v>
                </c:pt>
                <c:pt idx="25">
                  <c:v>15-Mar</c:v>
                </c:pt>
                <c:pt idx="26">
                  <c:v>14-Mar</c:v>
                </c:pt>
                <c:pt idx="27">
                  <c:v>13-Mar</c:v>
                </c:pt>
                <c:pt idx="28">
                  <c:v>12-Mar</c:v>
                </c:pt>
                <c:pt idx="29">
                  <c:v>11-Mar</c:v>
                </c:pt>
                <c:pt idx="30">
                  <c:v>10-Mar</c:v>
                </c:pt>
              </c:strCache>
            </c:strRef>
          </c:cat>
          <c:val>
            <c:numRef>
              <c:f>'Pivot Report'!$M$5:$M$36</c:f>
              <c:numCache>
                <c:formatCode>0.00</c:formatCode>
                <c:ptCount val="31"/>
                <c:pt idx="0">
                  <c:v>3.5</c:v>
                </c:pt>
                <c:pt idx="1">
                  <c:v>7.666666666666667</c:v>
                </c:pt>
                <c:pt idx="2">
                  <c:v>5.0909090909090908</c:v>
                </c:pt>
                <c:pt idx="3">
                  <c:v>5.5</c:v>
                </c:pt>
                <c:pt idx="4">
                  <c:v>5</c:v>
                </c:pt>
                <c:pt idx="5">
                  <c:v>2.75</c:v>
                </c:pt>
                <c:pt idx="6">
                  <c:v>1.5</c:v>
                </c:pt>
                <c:pt idx="7">
                  <c:v>8.75</c:v>
                </c:pt>
                <c:pt idx="8">
                  <c:v>4</c:v>
                </c:pt>
                <c:pt idx="9">
                  <c:v>6</c:v>
                </c:pt>
                <c:pt idx="10">
                  <c:v>2.6666666666666665</c:v>
                </c:pt>
                <c:pt idx="11">
                  <c:v>9.25</c:v>
                </c:pt>
                <c:pt idx="12">
                  <c:v>2</c:v>
                </c:pt>
                <c:pt idx="13">
                  <c:v>4.75</c:v>
                </c:pt>
                <c:pt idx="14">
                  <c:v>3.3333333333333335</c:v>
                </c:pt>
                <c:pt idx="15">
                  <c:v>5.666666666666667</c:v>
                </c:pt>
                <c:pt idx="16">
                  <c:v>7</c:v>
                </c:pt>
                <c:pt idx="17">
                  <c:v>6.333333333333333</c:v>
                </c:pt>
                <c:pt idx="18">
                  <c:v>6.25</c:v>
                </c:pt>
                <c:pt idx="19">
                  <c:v>6.6</c:v>
                </c:pt>
                <c:pt idx="20">
                  <c:v>7.2</c:v>
                </c:pt>
                <c:pt idx="21">
                  <c:v>5.25</c:v>
                </c:pt>
                <c:pt idx="22">
                  <c:v>9</c:v>
                </c:pt>
                <c:pt idx="23">
                  <c:v>7.333333333333333</c:v>
                </c:pt>
                <c:pt idx="24">
                  <c:v>4</c:v>
                </c:pt>
                <c:pt idx="25">
                  <c:v>4.25</c:v>
                </c:pt>
                <c:pt idx="26">
                  <c:v>5</c:v>
                </c:pt>
                <c:pt idx="27">
                  <c:v>7</c:v>
                </c:pt>
                <c:pt idx="28">
                  <c:v>1</c:v>
                </c:pt>
                <c:pt idx="29">
                  <c:v>3.8</c:v>
                </c:pt>
                <c:pt idx="30">
                  <c:v>3.6666666666666665</c:v>
                </c:pt>
              </c:numCache>
            </c:numRef>
          </c:val>
          <c:extLst>
            <c:ext xmlns:c16="http://schemas.microsoft.com/office/drawing/2014/chart" uri="{C3380CC4-5D6E-409C-BE32-E72D297353CC}">
              <c16:uniqueId val="{00000004-C800-48D5-A490-AEC9D722A82E}"/>
            </c:ext>
          </c:extLst>
        </c:ser>
        <c:dLbls>
          <c:showLegendKey val="0"/>
          <c:showVal val="0"/>
          <c:showCatName val="0"/>
          <c:showSerName val="0"/>
          <c:showPercent val="0"/>
          <c:showBubbleSize val="0"/>
        </c:dLbls>
        <c:axId val="866457136"/>
        <c:axId val="866456176"/>
      </c:areaChart>
      <c:catAx>
        <c:axId val="866457136"/>
        <c:scaling>
          <c:orientation val="minMax"/>
        </c:scaling>
        <c:delete val="1"/>
        <c:axPos val="b"/>
        <c:numFmt formatCode="General" sourceLinked="1"/>
        <c:majorTickMark val="out"/>
        <c:minorTickMark val="none"/>
        <c:tickLblPos val="nextTo"/>
        <c:crossAx val="866456176"/>
        <c:crosses val="autoZero"/>
        <c:auto val="1"/>
        <c:lblAlgn val="ctr"/>
        <c:lblOffset val="100"/>
        <c:noMultiLvlLbl val="0"/>
      </c:catAx>
      <c:valAx>
        <c:axId val="866456176"/>
        <c:scaling>
          <c:orientation val="minMax"/>
        </c:scaling>
        <c:delete val="1"/>
        <c:axPos val="l"/>
        <c:numFmt formatCode="0.00" sourceLinked="1"/>
        <c:majorTickMark val="none"/>
        <c:minorTickMark val="none"/>
        <c:tickLblPos val="nextTo"/>
        <c:crossAx val="866457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Report!PivotTable4</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252744862017282"/>
              <c:y val="1.0667526788511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577468361035821"/>
              <c:y val="-8.018080897880372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162774483980128"/>
                  <c:h val="0.23401745935109491"/>
                </c:manualLayout>
              </c15:layout>
            </c:ext>
          </c:extLst>
        </c:dLbl>
      </c:pivotFmt>
    </c:pivotFmts>
    <c:plotArea>
      <c:layout>
        <c:manualLayout>
          <c:layoutTarget val="inner"/>
          <c:xMode val="edge"/>
          <c:yMode val="edge"/>
          <c:x val="0.25699557860338346"/>
          <c:y val="0.19601050798712358"/>
          <c:w val="0.43626850447833104"/>
          <c:h val="0.61050074424283796"/>
        </c:manualLayout>
      </c:layout>
      <c:doughnutChart>
        <c:varyColors val="1"/>
        <c:ser>
          <c:idx val="0"/>
          <c:order val="0"/>
          <c:tx>
            <c:strRef>
              <c:f>'Pivot Report'!$E$40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BE-4BCC-9D61-7640C052270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BE-4BCC-9D61-7640C0522708}"/>
              </c:ext>
            </c:extLst>
          </c:dPt>
          <c:dLbls>
            <c:dLbl>
              <c:idx val="0"/>
              <c:layout>
                <c:manualLayout>
                  <c:x val="0.16252744862017282"/>
                  <c:y val="1.0667526788511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9BE-4BCC-9D61-7640C0522708}"/>
                </c:ext>
              </c:extLst>
            </c:dLbl>
            <c:dLbl>
              <c:idx val="1"/>
              <c:layout>
                <c:manualLayout>
                  <c:x val="-0.15577468361035821"/>
                  <c:y val="-8.018080897880372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162774483980128"/>
                      <c:h val="0.23401745935109491"/>
                    </c:manualLayout>
                  </c15:layout>
                </c:ext>
                <c:ext xmlns:c16="http://schemas.microsoft.com/office/drawing/2014/chart" uri="{C3380CC4-5D6E-409C-BE32-E72D297353CC}">
                  <c16:uniqueId val="{00000003-B9BE-4BCC-9D61-7640C05227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Report'!$D$41:$D$43</c:f>
              <c:strCache>
                <c:ptCount val="2"/>
                <c:pt idx="0">
                  <c:v>Female</c:v>
                </c:pt>
                <c:pt idx="1">
                  <c:v>Male</c:v>
                </c:pt>
              </c:strCache>
            </c:strRef>
          </c:cat>
          <c:val>
            <c:numRef>
              <c:f>'Pivot Report'!$E$41:$E$43</c:f>
              <c:numCache>
                <c:formatCode>0</c:formatCode>
                <c:ptCount val="2"/>
                <c:pt idx="0">
                  <c:v>231</c:v>
                </c:pt>
                <c:pt idx="1">
                  <c:v>275</c:v>
                </c:pt>
              </c:numCache>
            </c:numRef>
          </c:val>
          <c:extLst>
            <c:ext xmlns:c16="http://schemas.microsoft.com/office/drawing/2014/chart" uri="{C3380CC4-5D6E-409C-BE32-E72D297353CC}">
              <c16:uniqueId val="{00000009-85B4-4740-9876-7C7B17E9680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10275617139559734"/>
          <c:y val="4.1048410173328338E-2"/>
          <c:w val="0.73985025912489144"/>
          <c:h val="0.129630714600490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1925193018389"/>
          <c:y val="0.12152902324584136"/>
          <c:w val="0.86592972947692881"/>
          <c:h val="0.57668048514882608"/>
        </c:manualLayout>
      </c:layout>
      <c:barChart>
        <c:barDir val="col"/>
        <c:grouping val="clustered"/>
        <c:varyColors val="0"/>
        <c:ser>
          <c:idx val="0"/>
          <c:order val="0"/>
          <c:tx>
            <c:strRef>
              <c:f>'Pivot Report'!$J$40</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Report'!$I$41:$I$49</c:f>
              <c:strCache>
                <c:ptCount val="8"/>
                <c:pt idx="0">
                  <c:v>0-09</c:v>
                </c:pt>
                <c:pt idx="1">
                  <c:v>10-19</c:v>
                </c:pt>
                <c:pt idx="2">
                  <c:v>20-29</c:v>
                </c:pt>
                <c:pt idx="3">
                  <c:v>30-39</c:v>
                </c:pt>
                <c:pt idx="4">
                  <c:v>40-49</c:v>
                </c:pt>
                <c:pt idx="5">
                  <c:v>50-59</c:v>
                </c:pt>
                <c:pt idx="6">
                  <c:v>60-69</c:v>
                </c:pt>
                <c:pt idx="7">
                  <c:v>70-79</c:v>
                </c:pt>
              </c:strCache>
            </c:strRef>
          </c:cat>
          <c:val>
            <c:numRef>
              <c:f>'Pivot Report'!$J$41:$J$49</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5-A837-4D57-85DB-8F1E5CABDE08}"/>
            </c:ext>
          </c:extLst>
        </c:ser>
        <c:dLbls>
          <c:showLegendKey val="0"/>
          <c:showVal val="0"/>
          <c:showCatName val="0"/>
          <c:showSerName val="0"/>
          <c:showPercent val="0"/>
          <c:showBubbleSize val="0"/>
        </c:dLbls>
        <c:gapWidth val="107"/>
        <c:overlap val="-27"/>
        <c:axId val="1622001536"/>
        <c:axId val="1622002016"/>
      </c:barChart>
      <c:catAx>
        <c:axId val="162200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lumMod val="50000"/>
                  </a:schemeClr>
                </a:solidFill>
                <a:latin typeface="+mn-lt"/>
                <a:ea typeface="+mn-ea"/>
                <a:cs typeface="+mn-cs"/>
              </a:defRPr>
            </a:pPr>
            <a:endParaRPr lang="en-US"/>
          </a:p>
        </c:txPr>
        <c:crossAx val="1622002016"/>
        <c:crosses val="autoZero"/>
        <c:auto val="1"/>
        <c:lblAlgn val="ctr"/>
        <c:lblOffset val="100"/>
        <c:noMultiLvlLbl val="0"/>
      </c:catAx>
      <c:valAx>
        <c:axId val="1622002016"/>
        <c:scaling>
          <c:orientation val="minMax"/>
        </c:scaling>
        <c:delete val="1"/>
        <c:axPos val="l"/>
        <c:numFmt formatCode="0" sourceLinked="1"/>
        <c:majorTickMark val="none"/>
        <c:minorTickMark val="none"/>
        <c:tickLblPos val="nextTo"/>
        <c:crossAx val="162200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Report!PivotTable6</c:name>
    <c:fmtId val="1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14850871520549"/>
          <c:y val="5.7644661949970671E-2"/>
          <c:w val="0.80399540682414694"/>
          <c:h val="0.89814814814814814"/>
        </c:manualLayout>
      </c:layout>
      <c:pie3DChart>
        <c:varyColors val="1"/>
        <c:ser>
          <c:idx val="0"/>
          <c:order val="0"/>
          <c:tx>
            <c:strRef>
              <c:f>'Pivot Report'!$E$50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3B2-49AB-AB0A-F6627508C03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3B2-49AB-AB0A-F6627508C03C}"/>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Report'!$D$51:$D$53</c:f>
              <c:strCache>
                <c:ptCount val="2"/>
                <c:pt idx="0">
                  <c:v>Delay</c:v>
                </c:pt>
                <c:pt idx="1">
                  <c:v>Ontime</c:v>
                </c:pt>
              </c:strCache>
            </c:strRef>
          </c:cat>
          <c:val>
            <c:numRef>
              <c:f>'Pivot Report'!$E$51:$E$53</c:f>
              <c:numCache>
                <c:formatCode>0</c:formatCode>
                <c:ptCount val="2"/>
                <c:pt idx="0">
                  <c:v>312</c:v>
                </c:pt>
                <c:pt idx="1">
                  <c:v>194</c:v>
                </c:pt>
              </c:numCache>
            </c:numRef>
          </c:val>
          <c:extLst>
            <c:ext xmlns:c16="http://schemas.microsoft.com/office/drawing/2014/chart" uri="{C3380CC4-5D6E-409C-BE32-E72D297353CC}">
              <c16:uniqueId val="{00000009-81D9-443C-AE1B-8B39B6A59312}"/>
            </c:ext>
          </c:extLst>
        </c:ser>
        <c:dLbls>
          <c:dLblPos val="ctr"/>
          <c:showLegendKey val="0"/>
          <c:showVal val="0"/>
          <c:showCatName val="0"/>
          <c:showSerName val="0"/>
          <c:showPercent val="1"/>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
          <c:y val="1.320395130007889E-3"/>
          <c:w val="0.97128720891983056"/>
          <c:h val="0.14331261911318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8490813648293"/>
          <c:y val="0.17171296296296298"/>
          <c:w val="0.75618175853018377"/>
          <c:h val="0.77736111111111106"/>
        </c:manualLayout>
      </c:layout>
      <c:barChart>
        <c:barDir val="bar"/>
        <c:grouping val="clustered"/>
        <c:varyColors val="0"/>
        <c:ser>
          <c:idx val="0"/>
          <c:order val="0"/>
          <c:tx>
            <c:strRef>
              <c:f>'Pivot Report'!$B$22</c:f>
              <c:strCache>
                <c:ptCount val="1"/>
                <c:pt idx="0">
                  <c:v>Total</c:v>
                </c:pt>
              </c:strCache>
            </c:strRef>
          </c:tx>
          <c:spPr>
            <a:solidFill>
              <a:schemeClr val="accent1"/>
            </a:solidFill>
            <a:ln w="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Report'!$A$23:$A$31</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Report'!$B$23:$B$31</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5-E627-443A-A7CB-5940511B9774}"/>
            </c:ext>
          </c:extLst>
        </c:ser>
        <c:dLbls>
          <c:showLegendKey val="0"/>
          <c:showVal val="0"/>
          <c:showCatName val="0"/>
          <c:showSerName val="0"/>
          <c:showPercent val="0"/>
          <c:showBubbleSize val="0"/>
        </c:dLbls>
        <c:gapWidth val="56"/>
        <c:axId val="247866320"/>
        <c:axId val="247864400"/>
      </c:barChart>
      <c:catAx>
        <c:axId val="24786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95000"/>
                    <a:lumOff val="5000"/>
                  </a:schemeClr>
                </a:solidFill>
                <a:latin typeface="+mn-lt"/>
                <a:ea typeface="+mn-ea"/>
                <a:cs typeface="+mn-cs"/>
              </a:defRPr>
            </a:pPr>
            <a:endParaRPr lang="en-US"/>
          </a:p>
        </c:txPr>
        <c:crossAx val="247864400"/>
        <c:crosses val="autoZero"/>
        <c:auto val="1"/>
        <c:lblAlgn val="ctr"/>
        <c:lblOffset val="100"/>
        <c:noMultiLvlLbl val="0"/>
      </c:catAx>
      <c:valAx>
        <c:axId val="247864400"/>
        <c:scaling>
          <c:orientation val="minMax"/>
        </c:scaling>
        <c:delete val="1"/>
        <c:axPos val="b"/>
        <c:numFmt formatCode="0" sourceLinked="1"/>
        <c:majorTickMark val="none"/>
        <c:minorTickMark val="none"/>
        <c:tickLblPos val="nextTo"/>
        <c:crossAx val="2478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99181942336744E-2"/>
          <c:y val="0.22567598875362174"/>
          <c:w val="0.92055428880307388"/>
          <c:h val="0.44550537171505861"/>
        </c:manualLayout>
      </c:layout>
      <c:barChart>
        <c:barDir val="col"/>
        <c:grouping val="clustered"/>
        <c:varyColors val="0"/>
        <c:ser>
          <c:idx val="0"/>
          <c:order val="0"/>
          <c:tx>
            <c:strRef>
              <c:f>'Pivot Report'!$B$40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Report'!$A$41:$A$48</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Report'!$B$41:$B$48</c:f>
              <c:numCache>
                <c:formatCode>0</c:formatCode>
                <c:ptCount val="7"/>
                <c:pt idx="0">
                  <c:v>112</c:v>
                </c:pt>
                <c:pt idx="1">
                  <c:v>61</c:v>
                </c:pt>
                <c:pt idx="2">
                  <c:v>51</c:v>
                </c:pt>
                <c:pt idx="3">
                  <c:v>35</c:v>
                </c:pt>
                <c:pt idx="4">
                  <c:v>26</c:v>
                </c:pt>
                <c:pt idx="5">
                  <c:v>97</c:v>
                </c:pt>
                <c:pt idx="6">
                  <c:v>124</c:v>
                </c:pt>
              </c:numCache>
            </c:numRef>
          </c:val>
          <c:extLst>
            <c:ext xmlns:c16="http://schemas.microsoft.com/office/drawing/2014/chart" uri="{C3380CC4-5D6E-409C-BE32-E72D297353CC}">
              <c16:uniqueId val="{00000007-E46A-442E-8E05-6A68F3F087CD}"/>
            </c:ext>
          </c:extLst>
        </c:ser>
        <c:dLbls>
          <c:showLegendKey val="0"/>
          <c:showVal val="0"/>
          <c:showCatName val="0"/>
          <c:showSerName val="0"/>
          <c:showPercent val="0"/>
          <c:showBubbleSize val="0"/>
        </c:dLbls>
        <c:gapWidth val="219"/>
        <c:overlap val="-27"/>
        <c:axId val="91822063"/>
        <c:axId val="91822543"/>
      </c:barChart>
      <c:catAx>
        <c:axId val="9182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91822543"/>
        <c:crosses val="autoZero"/>
        <c:auto val="1"/>
        <c:lblAlgn val="ctr"/>
        <c:lblOffset val="100"/>
        <c:noMultiLvlLbl val="0"/>
      </c:catAx>
      <c:valAx>
        <c:axId val="91822543"/>
        <c:scaling>
          <c:orientation val="minMax"/>
        </c:scaling>
        <c:delete val="1"/>
        <c:axPos val="l"/>
        <c:numFmt formatCode="0" sourceLinked="1"/>
        <c:majorTickMark val="none"/>
        <c:minorTickMark val="none"/>
        <c:tickLblPos val="nextTo"/>
        <c:crossAx val="91822063"/>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Report!PivotTable13</c:name>
    <c:fmtId val="7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56128925280846E-2"/>
          <c:y val="2.612330198537095E-2"/>
          <c:w val="0.92496994608840977"/>
          <c:h val="0.87087087272398156"/>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9-Mar</c:v>
                </c:pt>
                <c:pt idx="1">
                  <c:v>8-Mar</c:v>
                </c:pt>
                <c:pt idx="2">
                  <c:v>7-Mar</c:v>
                </c:pt>
                <c:pt idx="3">
                  <c:v>6-Mar</c:v>
                </c:pt>
                <c:pt idx="4">
                  <c:v>5-Mar</c:v>
                </c:pt>
                <c:pt idx="5">
                  <c:v>4-Mar</c:v>
                </c:pt>
                <c:pt idx="6">
                  <c:v>3-Mar</c:v>
                </c:pt>
                <c:pt idx="7">
                  <c:v>31-Mar</c:v>
                </c:pt>
                <c:pt idx="8">
                  <c:v>30-Mar</c:v>
                </c:pt>
                <c:pt idx="9">
                  <c:v>2-Mar</c:v>
                </c:pt>
                <c:pt idx="10">
                  <c:v>29-Mar</c:v>
                </c:pt>
                <c:pt idx="11">
                  <c:v>28-Mar</c:v>
                </c:pt>
                <c:pt idx="12">
                  <c:v>27-Mar</c:v>
                </c:pt>
                <c:pt idx="13">
                  <c:v>26-Mar</c:v>
                </c:pt>
                <c:pt idx="14">
                  <c:v>25-Mar</c:v>
                </c:pt>
                <c:pt idx="15">
                  <c:v>24-Mar</c:v>
                </c:pt>
                <c:pt idx="16">
                  <c:v>23-Mar</c:v>
                </c:pt>
                <c:pt idx="17">
                  <c:v>22-Mar</c:v>
                </c:pt>
                <c:pt idx="18">
                  <c:v>21-Mar</c:v>
                </c:pt>
                <c:pt idx="19">
                  <c:v>20-Mar</c:v>
                </c:pt>
                <c:pt idx="20">
                  <c:v>1-Mar</c:v>
                </c:pt>
                <c:pt idx="21">
                  <c:v>19-Mar</c:v>
                </c:pt>
                <c:pt idx="22">
                  <c:v>18-Mar</c:v>
                </c:pt>
                <c:pt idx="23">
                  <c:v>17-Mar</c:v>
                </c:pt>
                <c:pt idx="24">
                  <c:v>16-Mar</c:v>
                </c:pt>
                <c:pt idx="25">
                  <c:v>15-Mar</c:v>
                </c:pt>
                <c:pt idx="26">
                  <c:v>14-Mar</c:v>
                </c:pt>
                <c:pt idx="27">
                  <c:v>13-Mar</c:v>
                </c:pt>
                <c:pt idx="28">
                  <c:v>12-Mar</c:v>
                </c:pt>
                <c:pt idx="29">
                  <c:v>11-Mar</c:v>
                </c:pt>
                <c:pt idx="30">
                  <c:v>10-Mar</c:v>
                </c:pt>
              </c:strCache>
            </c:strRef>
          </c:cat>
          <c:val>
            <c:numRef>
              <c:f>'Pivot Report'!$M$5:$M$36</c:f>
              <c:numCache>
                <c:formatCode>0.00</c:formatCode>
                <c:ptCount val="31"/>
                <c:pt idx="0">
                  <c:v>3.5</c:v>
                </c:pt>
                <c:pt idx="1">
                  <c:v>7.666666666666667</c:v>
                </c:pt>
                <c:pt idx="2">
                  <c:v>5.0909090909090908</c:v>
                </c:pt>
                <c:pt idx="3">
                  <c:v>5.5</c:v>
                </c:pt>
                <c:pt idx="4">
                  <c:v>5</c:v>
                </c:pt>
                <c:pt idx="5">
                  <c:v>2.75</c:v>
                </c:pt>
                <c:pt idx="6">
                  <c:v>1.5</c:v>
                </c:pt>
                <c:pt idx="7">
                  <c:v>8.75</c:v>
                </c:pt>
                <c:pt idx="8">
                  <c:v>4</c:v>
                </c:pt>
                <c:pt idx="9">
                  <c:v>6</c:v>
                </c:pt>
                <c:pt idx="10">
                  <c:v>2.6666666666666665</c:v>
                </c:pt>
                <c:pt idx="11">
                  <c:v>9.25</c:v>
                </c:pt>
                <c:pt idx="12">
                  <c:v>2</c:v>
                </c:pt>
                <c:pt idx="13">
                  <c:v>4.75</c:v>
                </c:pt>
                <c:pt idx="14">
                  <c:v>3.3333333333333335</c:v>
                </c:pt>
                <c:pt idx="15">
                  <c:v>5.666666666666667</c:v>
                </c:pt>
                <c:pt idx="16">
                  <c:v>7</c:v>
                </c:pt>
                <c:pt idx="17">
                  <c:v>6.333333333333333</c:v>
                </c:pt>
                <c:pt idx="18">
                  <c:v>6.25</c:v>
                </c:pt>
                <c:pt idx="19">
                  <c:v>6.6</c:v>
                </c:pt>
                <c:pt idx="20">
                  <c:v>7.2</c:v>
                </c:pt>
                <c:pt idx="21">
                  <c:v>5.25</c:v>
                </c:pt>
                <c:pt idx="22">
                  <c:v>9</c:v>
                </c:pt>
                <c:pt idx="23">
                  <c:v>7.333333333333333</c:v>
                </c:pt>
                <c:pt idx="24">
                  <c:v>4</c:v>
                </c:pt>
                <c:pt idx="25">
                  <c:v>4.25</c:v>
                </c:pt>
                <c:pt idx="26">
                  <c:v>5</c:v>
                </c:pt>
                <c:pt idx="27">
                  <c:v>7</c:v>
                </c:pt>
                <c:pt idx="28">
                  <c:v>1</c:v>
                </c:pt>
                <c:pt idx="29">
                  <c:v>3.8</c:v>
                </c:pt>
                <c:pt idx="30">
                  <c:v>3.6666666666666665</c:v>
                </c:pt>
              </c:numCache>
            </c:numRef>
          </c:val>
          <c:extLst>
            <c:ext xmlns:c16="http://schemas.microsoft.com/office/drawing/2014/chart" uri="{C3380CC4-5D6E-409C-BE32-E72D297353CC}">
              <c16:uniqueId val="{00000003-74DE-4762-9858-0AA86BC0B2A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66457136"/>
        <c:axId val="866456176"/>
      </c:areaChart>
      <c:catAx>
        <c:axId val="866457136"/>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6456176"/>
        <c:crosses val="autoZero"/>
        <c:auto val="1"/>
        <c:lblAlgn val="ctr"/>
        <c:lblOffset val="100"/>
        <c:noMultiLvlLbl val="0"/>
      </c:catAx>
      <c:valAx>
        <c:axId val="86645617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6457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Report!PivotTable10</c:name>
    <c:fmtId val="5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97054394464241E-2"/>
          <c:y val="7.2223610700878779E-2"/>
          <c:w val="0.92113088265099596"/>
          <c:h val="0.66734052906308072"/>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9-Mar</c:v>
                </c:pt>
                <c:pt idx="1">
                  <c:v>8-Mar</c:v>
                </c:pt>
                <c:pt idx="2">
                  <c:v>7-Mar</c:v>
                </c:pt>
                <c:pt idx="3">
                  <c:v>6-Mar</c:v>
                </c:pt>
                <c:pt idx="4">
                  <c:v>5-Mar</c:v>
                </c:pt>
                <c:pt idx="5">
                  <c:v>4-Mar</c:v>
                </c:pt>
                <c:pt idx="6">
                  <c:v>3-Mar</c:v>
                </c:pt>
                <c:pt idx="7">
                  <c:v>31-Mar</c:v>
                </c:pt>
                <c:pt idx="8">
                  <c:v>30-Mar</c:v>
                </c:pt>
                <c:pt idx="9">
                  <c:v>2-Mar</c:v>
                </c:pt>
                <c:pt idx="10">
                  <c:v>29-Mar</c:v>
                </c:pt>
                <c:pt idx="11">
                  <c:v>28-Mar</c:v>
                </c:pt>
                <c:pt idx="12">
                  <c:v>27-Mar</c:v>
                </c:pt>
                <c:pt idx="13">
                  <c:v>26-Mar</c:v>
                </c:pt>
                <c:pt idx="14">
                  <c:v>25-Mar</c:v>
                </c:pt>
                <c:pt idx="15">
                  <c:v>24-Mar</c:v>
                </c:pt>
                <c:pt idx="16">
                  <c:v>23-Mar</c:v>
                </c:pt>
                <c:pt idx="17">
                  <c:v>22-Mar</c:v>
                </c:pt>
                <c:pt idx="18">
                  <c:v>21-Mar</c:v>
                </c:pt>
                <c:pt idx="19">
                  <c:v>20-Mar</c:v>
                </c:pt>
                <c:pt idx="20">
                  <c:v>1-Mar</c:v>
                </c:pt>
                <c:pt idx="21">
                  <c:v>19-Mar</c:v>
                </c:pt>
                <c:pt idx="22">
                  <c:v>18-Mar</c:v>
                </c:pt>
                <c:pt idx="23">
                  <c:v>17-Mar</c:v>
                </c:pt>
                <c:pt idx="24">
                  <c:v>16-Mar</c:v>
                </c:pt>
                <c:pt idx="25">
                  <c:v>15-Mar</c:v>
                </c:pt>
                <c:pt idx="26">
                  <c:v>14-Mar</c:v>
                </c:pt>
                <c:pt idx="27">
                  <c:v>13-Mar</c:v>
                </c:pt>
                <c:pt idx="28">
                  <c:v>12-Mar</c:v>
                </c:pt>
                <c:pt idx="29">
                  <c:v>11-Mar</c:v>
                </c:pt>
                <c:pt idx="30">
                  <c:v>10-Mar</c:v>
                </c:pt>
              </c:strCache>
            </c:strRef>
          </c:cat>
          <c:val>
            <c:numRef>
              <c:f>'Pivot Report'!$J$5:$J$36</c:f>
              <c:numCache>
                <c:formatCode>0.00</c:formatCode>
                <c:ptCount val="31"/>
                <c:pt idx="0">
                  <c:v>33</c:v>
                </c:pt>
                <c:pt idx="1">
                  <c:v>34.071428571428569</c:v>
                </c:pt>
                <c:pt idx="2">
                  <c:v>36.846153846153847</c:v>
                </c:pt>
                <c:pt idx="3">
                  <c:v>31.8125</c:v>
                </c:pt>
                <c:pt idx="4">
                  <c:v>31.571428571428573</c:v>
                </c:pt>
                <c:pt idx="5">
                  <c:v>35.071428571428569</c:v>
                </c:pt>
                <c:pt idx="6">
                  <c:v>36.291666666666664</c:v>
                </c:pt>
                <c:pt idx="7">
                  <c:v>39.055555555555557</c:v>
                </c:pt>
                <c:pt idx="8">
                  <c:v>30.571428571428573</c:v>
                </c:pt>
                <c:pt idx="9">
                  <c:v>33.708333333333336</c:v>
                </c:pt>
                <c:pt idx="10">
                  <c:v>32.666666666666664</c:v>
                </c:pt>
                <c:pt idx="11">
                  <c:v>30.294117647058822</c:v>
                </c:pt>
                <c:pt idx="12">
                  <c:v>39.411764705882355</c:v>
                </c:pt>
                <c:pt idx="13">
                  <c:v>37</c:v>
                </c:pt>
                <c:pt idx="14">
                  <c:v>39.833333333333336</c:v>
                </c:pt>
                <c:pt idx="15">
                  <c:v>35.863636363636367</c:v>
                </c:pt>
                <c:pt idx="16">
                  <c:v>25.2</c:v>
                </c:pt>
                <c:pt idx="17">
                  <c:v>34.0625</c:v>
                </c:pt>
                <c:pt idx="18">
                  <c:v>28.5</c:v>
                </c:pt>
                <c:pt idx="19">
                  <c:v>31.25</c:v>
                </c:pt>
                <c:pt idx="20">
                  <c:v>34.526315789473685</c:v>
                </c:pt>
                <c:pt idx="21">
                  <c:v>39</c:v>
                </c:pt>
                <c:pt idx="22">
                  <c:v>44.090909090909093</c:v>
                </c:pt>
                <c:pt idx="23">
                  <c:v>42.25</c:v>
                </c:pt>
                <c:pt idx="24">
                  <c:v>43.166666666666664</c:v>
                </c:pt>
                <c:pt idx="25">
                  <c:v>33.92307692307692</c:v>
                </c:pt>
                <c:pt idx="26">
                  <c:v>34.071428571428569</c:v>
                </c:pt>
                <c:pt idx="27">
                  <c:v>40.46153846153846</c:v>
                </c:pt>
                <c:pt idx="28">
                  <c:v>42.615384615384613</c:v>
                </c:pt>
                <c:pt idx="29">
                  <c:v>42.05</c:v>
                </c:pt>
                <c:pt idx="30">
                  <c:v>40.222222222222221</c:v>
                </c:pt>
              </c:numCache>
            </c:numRef>
          </c:val>
          <c:extLst>
            <c:ext xmlns:c16="http://schemas.microsoft.com/office/drawing/2014/chart" uri="{C3380CC4-5D6E-409C-BE32-E72D297353CC}">
              <c16:uniqueId val="{00000003-D85B-49E6-BEF9-77D470EBBF0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2981248"/>
        <c:axId val="1142982688"/>
      </c:areaChart>
      <c:catAx>
        <c:axId val="11429812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2982688"/>
        <c:crosses val="autoZero"/>
        <c:auto val="1"/>
        <c:lblAlgn val="ctr"/>
        <c:lblOffset val="100"/>
        <c:noMultiLvlLbl val="0"/>
      </c:catAx>
      <c:valAx>
        <c:axId val="1142982688"/>
        <c:scaling>
          <c:orientation val="minMax"/>
        </c:scaling>
        <c:delete val="1"/>
        <c:axPos val="l"/>
        <c:numFmt formatCode="0.00" sourceLinked="1"/>
        <c:majorTickMark val="out"/>
        <c:minorTickMark val="none"/>
        <c:tickLblPos val="nextTo"/>
        <c:crossAx val="114298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(1) (1).xlsx]Pivot Report!PivotTable9</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190526200802E-2"/>
          <c:y val="7.3428362980092102E-2"/>
          <c:w val="0.90526809526702956"/>
          <c:h val="0.77445842133329368"/>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3-9441-4A0A-936C-542C78795E0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11785024"/>
        <c:axId val="1111796544"/>
      </c:areaChart>
      <c:catAx>
        <c:axId val="11117850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11796544"/>
        <c:crosses val="autoZero"/>
        <c:auto val="1"/>
        <c:lblAlgn val="ctr"/>
        <c:lblOffset val="100"/>
        <c:noMultiLvlLbl val="0"/>
      </c:catAx>
      <c:valAx>
        <c:axId val="1111796544"/>
        <c:scaling>
          <c:orientation val="minMax"/>
        </c:scaling>
        <c:delete val="1"/>
        <c:axPos val="l"/>
        <c:numFmt formatCode="General" sourceLinked="1"/>
        <c:majorTickMark val="out"/>
        <c:minorTickMark val="none"/>
        <c:tickLblPos val="nextTo"/>
        <c:crossAx val="1111785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openxmlformats.org/officeDocument/2006/relationships/image" Target="../media/image7.emf"/><Relationship Id="rId3" Type="http://schemas.openxmlformats.org/officeDocument/2006/relationships/image" Target="../media/image3.png"/><Relationship Id="rId7" Type="http://schemas.openxmlformats.org/officeDocument/2006/relationships/hyperlink" Target="#'Daily patient'!A1"/><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P. Satisfaction Rate'!A1"/><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hyperlink" Target="#'Avg.Wait Time'!A1"/><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0.sv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0.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59447</xdr:colOff>
      <xdr:row>62</xdr:row>
      <xdr:rowOff>75660</xdr:rowOff>
    </xdr:from>
    <xdr:to>
      <xdr:col>3</xdr:col>
      <xdr:colOff>1016000</xdr:colOff>
      <xdr:row>64</xdr:row>
      <xdr:rowOff>156724</xdr:rowOff>
    </xdr:to>
    <xdr:graphicFrame macro="">
      <xdr:nvGraphicFramePr>
        <xdr:cNvPr id="9" name="Chart 8">
          <a:extLst>
            <a:ext uri="{FF2B5EF4-FFF2-40B4-BE49-F238E27FC236}">
              <a16:creationId xmlns:a16="http://schemas.microsoft.com/office/drawing/2014/main" id="{B4158A5A-E0C0-22D0-8FAE-C54604070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34377</xdr:colOff>
      <xdr:row>0</xdr:row>
      <xdr:rowOff>39189</xdr:rowOff>
    </xdr:from>
    <xdr:to>
      <xdr:col>6</xdr:col>
      <xdr:colOff>321973</xdr:colOff>
      <xdr:row>3</xdr:row>
      <xdr:rowOff>179294</xdr:rowOff>
    </xdr:to>
    <xdr:sp macro="" textlink="">
      <xdr:nvSpPr>
        <xdr:cNvPr id="2" name="Rectangle: Rounded Corners 1">
          <a:extLst>
            <a:ext uri="{FF2B5EF4-FFF2-40B4-BE49-F238E27FC236}">
              <a16:creationId xmlns:a16="http://schemas.microsoft.com/office/drawing/2014/main" id="{F40559DE-56D1-625C-B7D8-36151CC1CA16}"/>
            </a:ext>
          </a:extLst>
        </xdr:cNvPr>
        <xdr:cNvSpPr/>
      </xdr:nvSpPr>
      <xdr:spPr>
        <a:xfrm>
          <a:off x="34377" y="39189"/>
          <a:ext cx="3954976" cy="690212"/>
        </a:xfrm>
        <a:prstGeom prst="roundRect">
          <a:avLst>
            <a:gd name="adj" fmla="val 8392"/>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600">
            <a:solidFill>
              <a:schemeClr val="bg2"/>
            </a:solidFill>
            <a:latin typeface="+mj-lt"/>
          </a:endParaRPr>
        </a:p>
      </xdr:txBody>
    </xdr:sp>
    <xdr:clientData/>
  </xdr:twoCellAnchor>
  <xdr:twoCellAnchor editAs="absolute">
    <xdr:from>
      <xdr:col>1</xdr:col>
      <xdr:colOff>8965</xdr:colOff>
      <xdr:row>0</xdr:row>
      <xdr:rowOff>132364</xdr:rowOff>
    </xdr:from>
    <xdr:to>
      <xdr:col>6</xdr:col>
      <xdr:colOff>352733</xdr:colOff>
      <xdr:row>3</xdr:row>
      <xdr:rowOff>44553</xdr:rowOff>
    </xdr:to>
    <xdr:sp macro="" textlink="">
      <xdr:nvSpPr>
        <xdr:cNvPr id="43" name="TextBox 42">
          <a:extLst>
            <a:ext uri="{FF2B5EF4-FFF2-40B4-BE49-F238E27FC236}">
              <a16:creationId xmlns:a16="http://schemas.microsoft.com/office/drawing/2014/main" id="{5A424103-4D97-8175-84FE-AA78560709B5}"/>
            </a:ext>
          </a:extLst>
        </xdr:cNvPr>
        <xdr:cNvSpPr txBox="1"/>
      </xdr:nvSpPr>
      <xdr:spPr>
        <a:xfrm>
          <a:off x="620337" y="132364"/>
          <a:ext cx="3400629" cy="457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a:solidFill>
                <a:schemeClr val="accent6">
                  <a:lumMod val="75000"/>
                </a:schemeClr>
              </a:solidFill>
              <a:latin typeface="Arial" panose="020B0604020202020204" pitchFamily="34" charset="0"/>
              <a:cs typeface="Arial" panose="020B0604020202020204" pitchFamily="34" charset="0"/>
            </a:rPr>
            <a:t>Life Care Hospital</a:t>
          </a:r>
          <a:r>
            <a:rPr lang="en-IN" sz="1800" b="1" baseline="0">
              <a:solidFill>
                <a:schemeClr val="accent6">
                  <a:lumMod val="75000"/>
                </a:schemeClr>
              </a:solidFill>
              <a:latin typeface="Arial" panose="020B0604020202020204" pitchFamily="34" charset="0"/>
              <a:cs typeface="Arial" panose="020B0604020202020204" pitchFamily="34" charset="0"/>
            </a:rPr>
            <a:t> Dashboard</a:t>
          </a:r>
          <a:endParaRPr lang="en-IN" sz="1800" b="1">
            <a:solidFill>
              <a:schemeClr val="accent6">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0</xdr:col>
      <xdr:colOff>153218</xdr:colOff>
      <xdr:row>0</xdr:row>
      <xdr:rowOff>62662</xdr:rowOff>
    </xdr:from>
    <xdr:to>
      <xdr:col>1</xdr:col>
      <xdr:colOff>159023</xdr:colOff>
      <xdr:row>3</xdr:row>
      <xdr:rowOff>129427</xdr:rowOff>
    </xdr:to>
    <xdr:pic>
      <xdr:nvPicPr>
        <xdr:cNvPr id="53" name="Picture 52">
          <a:extLst>
            <a:ext uri="{FF2B5EF4-FFF2-40B4-BE49-F238E27FC236}">
              <a16:creationId xmlns:a16="http://schemas.microsoft.com/office/drawing/2014/main" id="{953EE43D-0DFA-EC07-3582-1902638866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218" y="62662"/>
          <a:ext cx="617551" cy="614117"/>
        </a:xfrm>
        <a:prstGeom prst="rect">
          <a:avLst/>
        </a:prstGeom>
      </xdr:spPr>
    </xdr:pic>
    <xdr:clientData/>
  </xdr:twoCellAnchor>
  <xdr:twoCellAnchor>
    <xdr:from>
      <xdr:col>2</xdr:col>
      <xdr:colOff>378135</xdr:colOff>
      <xdr:row>4</xdr:row>
      <xdr:rowOff>32599</xdr:rowOff>
    </xdr:from>
    <xdr:to>
      <xdr:col>4</xdr:col>
      <xdr:colOff>297465</xdr:colOff>
      <xdr:row>8</xdr:row>
      <xdr:rowOff>168015</xdr:rowOff>
    </xdr:to>
    <xdr:grpSp>
      <xdr:nvGrpSpPr>
        <xdr:cNvPr id="2098" name="Group 2097">
          <a:extLst>
            <a:ext uri="{FF2B5EF4-FFF2-40B4-BE49-F238E27FC236}">
              <a16:creationId xmlns:a16="http://schemas.microsoft.com/office/drawing/2014/main" id="{8D45BA35-3BA9-276E-0D63-B5C7C6687824}"/>
            </a:ext>
          </a:extLst>
        </xdr:cNvPr>
        <xdr:cNvGrpSpPr/>
      </xdr:nvGrpSpPr>
      <xdr:grpSpPr>
        <a:xfrm>
          <a:off x="1599354" y="759274"/>
          <a:ext cx="1140548" cy="862092"/>
          <a:chOff x="4848284" y="40641"/>
          <a:chExt cx="1001384" cy="767316"/>
        </a:xfrm>
      </xdr:grpSpPr>
      <xdr:sp macro="" textlink="Dashboard!$A$5">
        <xdr:nvSpPr>
          <xdr:cNvPr id="59" name="Rectangle: Rounded Corners 58">
            <a:extLst>
              <a:ext uri="{FF2B5EF4-FFF2-40B4-BE49-F238E27FC236}">
                <a16:creationId xmlns:a16="http://schemas.microsoft.com/office/drawing/2014/main" id="{FE32F73B-05ED-42B6-A5BA-87862F2D6A81}"/>
              </a:ext>
            </a:extLst>
          </xdr:cNvPr>
          <xdr:cNvSpPr/>
        </xdr:nvSpPr>
        <xdr:spPr>
          <a:xfrm>
            <a:off x="4848284" y="40641"/>
            <a:ext cx="1001384" cy="767316"/>
          </a:xfrm>
          <a:prstGeom prst="roundRect">
            <a:avLst>
              <a:gd name="adj" fmla="val 8259"/>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fld id="{4AF93085-4909-41D9-8F0B-22BB539C4424}" type="TxLink">
              <a:rPr lang="en-US" sz="1100" b="0" i="0" u="none" strike="noStrike">
                <a:solidFill>
                  <a:srgbClr val="000000"/>
                </a:solidFill>
                <a:latin typeface="Aptos Narrow"/>
              </a:rPr>
              <a:pPr algn="l"/>
              <a:t> </a:t>
            </a:fld>
            <a:endParaRPr lang="en-IN" sz="1100"/>
          </a:p>
        </xdr:txBody>
      </xdr:sp>
      <xdr:sp macro="" textlink="">
        <xdr:nvSpPr>
          <xdr:cNvPr id="2074" name="TextBox 2073">
            <a:extLst>
              <a:ext uri="{FF2B5EF4-FFF2-40B4-BE49-F238E27FC236}">
                <a16:creationId xmlns:a16="http://schemas.microsoft.com/office/drawing/2014/main" id="{A1AE6E7F-4992-8E4B-1874-AF337785D6CA}"/>
              </a:ext>
            </a:extLst>
          </xdr:cNvPr>
          <xdr:cNvSpPr txBox="1"/>
        </xdr:nvSpPr>
        <xdr:spPr>
          <a:xfrm>
            <a:off x="4875942" y="365267"/>
            <a:ext cx="937506" cy="29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solidFill>
                  <a:schemeClr val="accent1">
                    <a:lumMod val="60000"/>
                    <a:lumOff val="40000"/>
                  </a:schemeClr>
                </a:solidFill>
                <a:latin typeface="+mn-lt"/>
                <a:ea typeface="+mn-ea"/>
                <a:cs typeface="Aharoni" panose="020F0502020204030204" pitchFamily="2" charset="-79"/>
              </a:rPr>
              <a:t>Total</a:t>
            </a:r>
            <a:r>
              <a:rPr lang="en-IN" sz="1050" b="1" baseline="0">
                <a:solidFill>
                  <a:schemeClr val="accent1">
                    <a:lumMod val="60000"/>
                    <a:lumOff val="40000"/>
                  </a:schemeClr>
                </a:solidFill>
                <a:latin typeface="+mn-lt"/>
                <a:ea typeface="+mn-ea"/>
                <a:cs typeface="Aharoni" panose="020F0502020204030204" pitchFamily="2" charset="-79"/>
              </a:rPr>
              <a:t> </a:t>
            </a:r>
            <a:r>
              <a:rPr lang="en-IN" sz="1050" b="1">
                <a:solidFill>
                  <a:schemeClr val="accent1">
                    <a:lumMod val="60000"/>
                    <a:lumOff val="40000"/>
                  </a:schemeClr>
                </a:solidFill>
                <a:latin typeface="+mn-lt"/>
                <a:ea typeface="+mn-ea"/>
                <a:cs typeface="Aharoni" panose="020F0502020204030204" pitchFamily="2" charset="-79"/>
              </a:rPr>
              <a:t>Patient</a:t>
            </a:r>
          </a:p>
        </xdr:txBody>
      </xdr:sp>
      <xdr:sp macro="" textlink="'Pivot Report'!A5">
        <xdr:nvSpPr>
          <xdr:cNvPr id="2079" name="TextBox 2078">
            <a:extLst>
              <a:ext uri="{FF2B5EF4-FFF2-40B4-BE49-F238E27FC236}">
                <a16:creationId xmlns:a16="http://schemas.microsoft.com/office/drawing/2014/main" id="{82A37B83-281A-DCF4-13C7-97697CFA48D7}"/>
              </a:ext>
            </a:extLst>
          </xdr:cNvPr>
          <xdr:cNvSpPr txBox="1"/>
        </xdr:nvSpPr>
        <xdr:spPr>
          <a:xfrm>
            <a:off x="4872034" y="193197"/>
            <a:ext cx="937506" cy="303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CBA621B-B2E5-48C1-9536-4B9315914D32}" type="TxLink">
              <a:rPr lang="en-US" sz="1800" b="1" i="0" u="none" strike="noStrike">
                <a:solidFill>
                  <a:schemeClr val="tx1"/>
                </a:solidFill>
                <a:latin typeface="Aptos Narrow"/>
                <a:cs typeface="Aharoni" panose="020F0502020204030204" pitchFamily="2" charset="-79"/>
              </a:rPr>
              <a:pPr algn="ctr"/>
              <a:t>506</a:t>
            </a:fld>
            <a:endParaRPr lang="en-IN" sz="2400" b="1">
              <a:solidFill>
                <a:schemeClr val="tx1"/>
              </a:solidFill>
              <a:latin typeface="+mn-lt"/>
              <a:cs typeface="Aharoni" panose="020F0502020204030204" pitchFamily="2" charset="-79"/>
            </a:endParaRPr>
          </a:p>
        </xdr:txBody>
      </xdr:sp>
    </xdr:grpSp>
    <xdr:clientData/>
  </xdr:twoCellAnchor>
  <xdr:twoCellAnchor>
    <xdr:from>
      <xdr:col>4</xdr:col>
      <xdr:colOff>338870</xdr:colOff>
      <xdr:row>4</xdr:row>
      <xdr:rowOff>32599</xdr:rowOff>
    </xdr:from>
    <xdr:to>
      <xdr:col>6</xdr:col>
      <xdr:colOff>256715</xdr:colOff>
      <xdr:row>8</xdr:row>
      <xdr:rowOff>174171</xdr:rowOff>
    </xdr:to>
    <xdr:grpSp>
      <xdr:nvGrpSpPr>
        <xdr:cNvPr id="2099" name="Group 2098">
          <a:extLst>
            <a:ext uri="{FF2B5EF4-FFF2-40B4-BE49-F238E27FC236}">
              <a16:creationId xmlns:a16="http://schemas.microsoft.com/office/drawing/2014/main" id="{74194800-76A9-5200-B60E-F08B1B4A8B42}"/>
            </a:ext>
          </a:extLst>
        </xdr:cNvPr>
        <xdr:cNvGrpSpPr/>
      </xdr:nvGrpSpPr>
      <xdr:grpSpPr>
        <a:xfrm>
          <a:off x="2781307" y="759274"/>
          <a:ext cx="1139064" cy="868248"/>
          <a:chOff x="5891046" y="40641"/>
          <a:chExt cx="1001384" cy="767316"/>
        </a:xfrm>
      </xdr:grpSpPr>
      <xdr:sp macro="" textlink="Dashboard!$A$5">
        <xdr:nvSpPr>
          <xdr:cNvPr id="2080" name="Rectangle: Rounded Corners 2079">
            <a:extLst>
              <a:ext uri="{FF2B5EF4-FFF2-40B4-BE49-F238E27FC236}">
                <a16:creationId xmlns:a16="http://schemas.microsoft.com/office/drawing/2014/main" id="{60286E90-4404-C867-8F62-5535F9D4EE76}"/>
              </a:ext>
            </a:extLst>
          </xdr:cNvPr>
          <xdr:cNvSpPr/>
        </xdr:nvSpPr>
        <xdr:spPr>
          <a:xfrm>
            <a:off x="5891046" y="40641"/>
            <a:ext cx="1001384" cy="767316"/>
          </a:xfrm>
          <a:prstGeom prst="roundRect">
            <a:avLst>
              <a:gd name="adj" fmla="val 8259"/>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fld id="{4AF93085-4909-41D9-8F0B-22BB539C4424}" type="TxLink">
              <a:rPr lang="en-US" sz="1100" b="0" i="0" u="none" strike="noStrike">
                <a:solidFill>
                  <a:srgbClr val="000000"/>
                </a:solidFill>
                <a:latin typeface="Aptos Narrow"/>
              </a:rPr>
              <a:pPr algn="l"/>
              <a:t> </a:t>
            </a:fld>
            <a:endParaRPr lang="en-IN" sz="1100"/>
          </a:p>
        </xdr:txBody>
      </xdr:sp>
      <xdr:sp macro="" textlink="">
        <xdr:nvSpPr>
          <xdr:cNvPr id="2081" name="TextBox 2080">
            <a:extLst>
              <a:ext uri="{FF2B5EF4-FFF2-40B4-BE49-F238E27FC236}">
                <a16:creationId xmlns:a16="http://schemas.microsoft.com/office/drawing/2014/main" id="{45A7DA77-BD17-2357-E644-AC446685B2DA}"/>
              </a:ext>
            </a:extLst>
          </xdr:cNvPr>
          <xdr:cNvSpPr txBox="1"/>
        </xdr:nvSpPr>
        <xdr:spPr>
          <a:xfrm>
            <a:off x="5918704" y="357488"/>
            <a:ext cx="937506" cy="29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solidFill>
                  <a:schemeClr val="accent1">
                    <a:lumMod val="60000"/>
                    <a:lumOff val="40000"/>
                  </a:schemeClr>
                </a:solidFill>
                <a:latin typeface="+mn-lt"/>
                <a:ea typeface="+mn-ea"/>
                <a:cs typeface="Aharoni" panose="020F0502020204030204" pitchFamily="2" charset="-79"/>
              </a:rPr>
              <a:t>Avg. Time</a:t>
            </a:r>
          </a:p>
        </xdr:txBody>
      </xdr:sp>
      <xdr:sp macro="" textlink="'Pivot Report'!A9">
        <xdr:nvSpPr>
          <xdr:cNvPr id="2084" name="TextBox 2083">
            <a:extLst>
              <a:ext uri="{FF2B5EF4-FFF2-40B4-BE49-F238E27FC236}">
                <a16:creationId xmlns:a16="http://schemas.microsoft.com/office/drawing/2014/main" id="{6F109377-54A7-6AB7-BCA7-8E7E299F6F3D}"/>
              </a:ext>
            </a:extLst>
          </xdr:cNvPr>
          <xdr:cNvSpPr txBox="1"/>
        </xdr:nvSpPr>
        <xdr:spPr>
          <a:xfrm>
            <a:off x="5924565" y="193197"/>
            <a:ext cx="937506" cy="303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97E853E4-E37E-4F3A-AD52-ACC2E04D2CAF}" type="TxLink">
              <a:rPr lang="en-US" sz="1800" b="1" i="0" u="none" strike="noStrike">
                <a:solidFill>
                  <a:schemeClr val="tx1"/>
                </a:solidFill>
                <a:latin typeface="Aptos Narrow"/>
                <a:ea typeface="+mn-ea"/>
                <a:cs typeface="Aharoni" panose="020F0502020204030204" pitchFamily="2" charset="-79"/>
              </a:rPr>
              <a:pPr marL="0" indent="0" algn="ctr"/>
              <a:t>35.88</a:t>
            </a:fld>
            <a:endParaRPr lang="en-IN" sz="1800" b="1" i="0" u="none" strike="noStrike">
              <a:solidFill>
                <a:schemeClr val="tx1"/>
              </a:solidFill>
              <a:latin typeface="Aptos Narrow"/>
              <a:ea typeface="+mn-ea"/>
              <a:cs typeface="Aharoni" panose="020F0502020204030204" pitchFamily="2" charset="-79"/>
            </a:endParaRPr>
          </a:p>
        </xdr:txBody>
      </xdr:sp>
    </xdr:grpSp>
    <xdr:clientData/>
  </xdr:twoCellAnchor>
  <xdr:twoCellAnchor>
    <xdr:from>
      <xdr:col>6</xdr:col>
      <xdr:colOff>297465</xdr:colOff>
      <xdr:row>4</xdr:row>
      <xdr:rowOff>27322</xdr:rowOff>
    </xdr:from>
    <xdr:to>
      <xdr:col>8</xdr:col>
      <xdr:colOff>206252</xdr:colOff>
      <xdr:row>8</xdr:row>
      <xdr:rowOff>174172</xdr:rowOff>
    </xdr:to>
    <xdr:grpSp>
      <xdr:nvGrpSpPr>
        <xdr:cNvPr id="2100" name="Group 2099">
          <a:extLst>
            <a:ext uri="{FF2B5EF4-FFF2-40B4-BE49-F238E27FC236}">
              <a16:creationId xmlns:a16="http://schemas.microsoft.com/office/drawing/2014/main" id="{1FD72C4C-E1D2-A3E9-E6C0-0F4A915D7BDF}"/>
            </a:ext>
          </a:extLst>
        </xdr:cNvPr>
        <xdr:cNvGrpSpPr/>
      </xdr:nvGrpSpPr>
      <xdr:grpSpPr>
        <a:xfrm>
          <a:off x="3961121" y="753997"/>
          <a:ext cx="1130005" cy="873526"/>
          <a:chOff x="6933808" y="40641"/>
          <a:chExt cx="1000215" cy="767316"/>
        </a:xfrm>
      </xdr:grpSpPr>
      <xdr:sp macro="" textlink="Dashboard!$A$5">
        <xdr:nvSpPr>
          <xdr:cNvPr id="2082" name="Rectangle: Rounded Corners 2081">
            <a:extLst>
              <a:ext uri="{FF2B5EF4-FFF2-40B4-BE49-F238E27FC236}">
                <a16:creationId xmlns:a16="http://schemas.microsoft.com/office/drawing/2014/main" id="{51ECE678-4D3E-4BDF-FA71-2756D6A77342}"/>
              </a:ext>
            </a:extLst>
          </xdr:cNvPr>
          <xdr:cNvSpPr/>
        </xdr:nvSpPr>
        <xdr:spPr>
          <a:xfrm>
            <a:off x="6933808" y="40641"/>
            <a:ext cx="1000215" cy="767316"/>
          </a:xfrm>
          <a:prstGeom prst="roundRect">
            <a:avLst>
              <a:gd name="adj" fmla="val 8259"/>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fld id="{4AF93085-4909-41D9-8F0B-22BB539C4424}" type="TxLink">
              <a:rPr lang="en-US" sz="1100" b="0" i="0" u="none" strike="noStrike">
                <a:solidFill>
                  <a:srgbClr val="000000"/>
                </a:solidFill>
                <a:latin typeface="Aptos Narrow"/>
              </a:rPr>
              <a:pPr algn="l"/>
              <a:t> </a:t>
            </a:fld>
            <a:endParaRPr lang="en-IN" sz="1100"/>
          </a:p>
        </xdr:txBody>
      </xdr:sp>
      <xdr:sp macro="" textlink="">
        <xdr:nvSpPr>
          <xdr:cNvPr id="2083" name="TextBox 2082">
            <a:extLst>
              <a:ext uri="{FF2B5EF4-FFF2-40B4-BE49-F238E27FC236}">
                <a16:creationId xmlns:a16="http://schemas.microsoft.com/office/drawing/2014/main" id="{9A907C14-6802-9C9F-FE71-B0F783E8F4DB}"/>
              </a:ext>
            </a:extLst>
          </xdr:cNvPr>
          <xdr:cNvSpPr txBox="1"/>
        </xdr:nvSpPr>
        <xdr:spPr>
          <a:xfrm>
            <a:off x="6973114" y="345821"/>
            <a:ext cx="936337" cy="29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solidFill>
                  <a:schemeClr val="accent1">
                    <a:lumMod val="60000"/>
                    <a:lumOff val="40000"/>
                  </a:schemeClr>
                </a:solidFill>
                <a:latin typeface="+mn-lt"/>
                <a:ea typeface="+mn-ea"/>
                <a:cs typeface="Aharoni" panose="020F0502020204030204" pitchFamily="2" charset="-79"/>
              </a:rPr>
              <a:t>Rating </a:t>
            </a:r>
          </a:p>
        </xdr:txBody>
      </xdr:sp>
      <xdr:sp macro="" textlink="'Pivot Report'!A14">
        <xdr:nvSpPr>
          <xdr:cNvPr id="2085" name="TextBox 2084">
            <a:extLst>
              <a:ext uri="{FF2B5EF4-FFF2-40B4-BE49-F238E27FC236}">
                <a16:creationId xmlns:a16="http://schemas.microsoft.com/office/drawing/2014/main" id="{A7D0417C-C05D-43EB-A4A7-F3901419B1C4}"/>
              </a:ext>
            </a:extLst>
          </xdr:cNvPr>
          <xdr:cNvSpPr txBox="1"/>
        </xdr:nvSpPr>
        <xdr:spPr>
          <a:xfrm>
            <a:off x="6977096" y="193197"/>
            <a:ext cx="936337" cy="303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AADBF966-159D-470A-815E-AD28B5CF102B}" type="TxLink">
              <a:rPr lang="en-US" sz="1800" b="1" i="0" u="none" strike="noStrike">
                <a:solidFill>
                  <a:schemeClr val="tx1"/>
                </a:solidFill>
                <a:latin typeface="Aptos Narrow"/>
                <a:ea typeface="+mn-ea"/>
                <a:cs typeface="Aharoni" panose="020F0502020204030204" pitchFamily="2" charset="-79"/>
              </a:rPr>
              <a:pPr marL="0" indent="0" algn="ctr"/>
              <a:t>5.33</a:t>
            </a:fld>
            <a:endParaRPr lang="en-IN" sz="1800" b="1" i="0" u="none" strike="noStrike">
              <a:solidFill>
                <a:schemeClr val="tx1"/>
              </a:solidFill>
              <a:latin typeface="Aptos Narrow"/>
              <a:ea typeface="+mn-ea"/>
              <a:cs typeface="Aharoni" panose="020F0502020204030204" pitchFamily="2" charset="-79"/>
            </a:endParaRPr>
          </a:p>
        </xdr:txBody>
      </xdr:sp>
    </xdr:grpSp>
    <xdr:clientData/>
  </xdr:twoCellAnchor>
  <xdr:twoCellAnchor editAs="oneCell">
    <xdr:from>
      <xdr:col>4</xdr:col>
      <xdr:colOff>46127</xdr:colOff>
      <xdr:row>4</xdr:row>
      <xdr:rowOff>40382</xdr:rowOff>
    </xdr:from>
    <xdr:to>
      <xdr:col>4</xdr:col>
      <xdr:colOff>281944</xdr:colOff>
      <xdr:row>5</xdr:row>
      <xdr:rowOff>95053</xdr:rowOff>
    </xdr:to>
    <xdr:pic>
      <xdr:nvPicPr>
        <xdr:cNvPr id="2097" name="Picture 2096" descr="School boy with solid fill">
          <a:extLst>
            <a:ext uri="{FF2B5EF4-FFF2-40B4-BE49-F238E27FC236}">
              <a16:creationId xmlns:a16="http://schemas.microsoft.com/office/drawing/2014/main" id="{45F8E444-4C1A-73CF-D908-857D1ECD10CD}"/>
            </a:ext>
          </a:extLst>
        </xdr:cNvPr>
        <xdr:cNvPicPr>
          <a:picLocks noChangeAspect="1"/>
        </xdr:cNvPicPr>
      </xdr:nvPicPr>
      <xdr:blipFill>
        <a:blip xmlns:r="http://schemas.openxmlformats.org/officeDocument/2006/relationships" r:embed="rId2"/>
        <a:stretch>
          <a:fillRect/>
        </a:stretch>
      </xdr:blipFill>
      <xdr:spPr>
        <a:xfrm>
          <a:off x="2493113" y="770185"/>
          <a:ext cx="235817" cy="237122"/>
        </a:xfrm>
        <a:prstGeom prst="rect">
          <a:avLst/>
        </a:prstGeom>
      </xdr:spPr>
    </xdr:pic>
    <xdr:clientData/>
  </xdr:twoCellAnchor>
  <xdr:twoCellAnchor editAs="absolute">
    <xdr:from>
      <xdr:col>6</xdr:col>
      <xdr:colOff>359535</xdr:colOff>
      <xdr:row>0</xdr:row>
      <xdr:rowOff>39189</xdr:rowOff>
    </xdr:from>
    <xdr:to>
      <xdr:col>8</xdr:col>
      <xdr:colOff>210207</xdr:colOff>
      <xdr:row>3</xdr:row>
      <xdr:rowOff>175219</xdr:rowOff>
    </xdr:to>
    <xdr:sp macro="" textlink="">
      <xdr:nvSpPr>
        <xdr:cNvPr id="2104" name="Rectangle: Rounded Corners 2103">
          <a:extLst>
            <a:ext uri="{FF2B5EF4-FFF2-40B4-BE49-F238E27FC236}">
              <a16:creationId xmlns:a16="http://schemas.microsoft.com/office/drawing/2014/main" id="{0C8F9D80-CB1A-FE62-78A3-133BF57C31FA}"/>
            </a:ext>
          </a:extLst>
        </xdr:cNvPr>
        <xdr:cNvSpPr/>
      </xdr:nvSpPr>
      <xdr:spPr>
        <a:xfrm>
          <a:off x="4030014" y="39189"/>
          <a:ext cx="1074165" cy="683382"/>
        </a:xfrm>
        <a:prstGeom prst="roundRect">
          <a:avLst>
            <a:gd name="adj" fmla="val 5419"/>
          </a:avLst>
        </a:prstGeom>
        <a:solidFill>
          <a:schemeClr val="tx2">
            <a:lumMod val="75000"/>
            <a:lumOff val="25000"/>
          </a:schemeClr>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600">
            <a:solidFill>
              <a:schemeClr val="bg2"/>
            </a:solidFill>
            <a:latin typeface="+mj-lt"/>
          </a:endParaRPr>
        </a:p>
      </xdr:txBody>
    </xdr:sp>
    <xdr:clientData/>
  </xdr:twoCellAnchor>
  <xdr:twoCellAnchor editAs="oneCell">
    <xdr:from>
      <xdr:col>6</xdr:col>
      <xdr:colOff>61173</xdr:colOff>
      <xdr:row>4</xdr:row>
      <xdr:rowOff>71905</xdr:rowOff>
    </xdr:from>
    <xdr:to>
      <xdr:col>6</xdr:col>
      <xdr:colOff>257578</xdr:colOff>
      <xdr:row>5</xdr:row>
      <xdr:rowOff>85859</xdr:rowOff>
    </xdr:to>
    <xdr:pic>
      <xdr:nvPicPr>
        <xdr:cNvPr id="2106" name="Graphic 2105" descr="Stopwatch 75% with solid fill">
          <a:extLst>
            <a:ext uri="{FF2B5EF4-FFF2-40B4-BE49-F238E27FC236}">
              <a16:creationId xmlns:a16="http://schemas.microsoft.com/office/drawing/2014/main" id="{C6385C12-3F62-169B-3C5F-052420E582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31652" y="801708"/>
          <a:ext cx="196405" cy="196405"/>
        </a:xfrm>
        <a:prstGeom prst="rect">
          <a:avLst/>
        </a:prstGeom>
      </xdr:spPr>
    </xdr:pic>
    <xdr:clientData/>
  </xdr:twoCellAnchor>
  <xdr:twoCellAnchor editAs="oneCell">
    <xdr:from>
      <xdr:col>8</xdr:col>
      <xdr:colOff>0</xdr:colOff>
      <xdr:row>4</xdr:row>
      <xdr:rowOff>48295</xdr:rowOff>
    </xdr:from>
    <xdr:to>
      <xdr:col>8</xdr:col>
      <xdr:colOff>200696</xdr:colOff>
      <xdr:row>5</xdr:row>
      <xdr:rowOff>66540</xdr:rowOff>
    </xdr:to>
    <xdr:pic>
      <xdr:nvPicPr>
        <xdr:cNvPr id="2110" name="Graphic 2109" descr="Star outline">
          <a:extLst>
            <a:ext uri="{FF2B5EF4-FFF2-40B4-BE49-F238E27FC236}">
              <a16:creationId xmlns:a16="http://schemas.microsoft.com/office/drawing/2014/main" id="{2B74665D-3C8C-00A6-3F97-8EBFEB8E7CF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93972" y="778098"/>
          <a:ext cx="200696" cy="200696"/>
        </a:xfrm>
        <a:prstGeom prst="rect">
          <a:avLst/>
        </a:prstGeom>
      </xdr:spPr>
    </xdr:pic>
    <xdr:clientData/>
  </xdr:twoCellAnchor>
  <xdr:twoCellAnchor editAs="oneCell">
    <xdr:from>
      <xdr:col>11</xdr:col>
      <xdr:colOff>169013</xdr:colOff>
      <xdr:row>0</xdr:row>
      <xdr:rowOff>17060</xdr:rowOff>
    </xdr:from>
    <xdr:to>
      <xdr:col>12</xdr:col>
      <xdr:colOff>604312</xdr:colOff>
      <xdr:row>16</xdr:row>
      <xdr:rowOff>175296</xdr:rowOff>
    </xdr:to>
    <mc:AlternateContent xmlns:mc="http://schemas.openxmlformats.org/markup-compatibility/2006" xmlns:a14="http://schemas.microsoft.com/office/drawing/2010/main">
      <mc:Choice Requires="a14">
        <xdr:graphicFrame macro="">
          <xdr:nvGraphicFramePr>
            <xdr:cNvPr id="2113" name="Date (Month) 1">
              <a:extLst>
                <a:ext uri="{FF2B5EF4-FFF2-40B4-BE49-F238E27FC236}">
                  <a16:creationId xmlns:a16="http://schemas.microsoft.com/office/drawing/2014/main" id="{04C90832-97C4-490B-A038-16E6B48C3A3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885715" y="17060"/>
              <a:ext cx="1045908" cy="3064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34376</xdr:colOff>
      <xdr:row>4</xdr:row>
      <xdr:rowOff>33704</xdr:rowOff>
    </xdr:from>
    <xdr:to>
      <xdr:col>2</xdr:col>
      <xdr:colOff>343988</xdr:colOff>
      <xdr:row>10</xdr:row>
      <xdr:rowOff>70681</xdr:rowOff>
    </xdr:to>
    <xdr:sp macro="" textlink="">
      <xdr:nvSpPr>
        <xdr:cNvPr id="2063" name="Rectangle: Rounded Corners 2062">
          <a:extLst>
            <a:ext uri="{FF2B5EF4-FFF2-40B4-BE49-F238E27FC236}">
              <a16:creationId xmlns:a16="http://schemas.microsoft.com/office/drawing/2014/main" id="{BEEF7A73-87DF-C2BF-ABDB-15D061482AD5}"/>
            </a:ext>
          </a:extLst>
        </xdr:cNvPr>
        <xdr:cNvSpPr/>
      </xdr:nvSpPr>
      <xdr:spPr>
        <a:xfrm>
          <a:off x="34376" y="767057"/>
          <a:ext cx="1524229" cy="1137007"/>
        </a:xfrm>
        <a:prstGeom prst="roundRect">
          <a:avLst>
            <a:gd name="adj" fmla="val 6598"/>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0</xdr:col>
      <xdr:colOff>34376</xdr:colOff>
      <xdr:row>10</xdr:row>
      <xdr:rowOff>108858</xdr:rowOff>
    </xdr:from>
    <xdr:to>
      <xdr:col>2</xdr:col>
      <xdr:colOff>343989</xdr:colOff>
      <xdr:row>16</xdr:row>
      <xdr:rowOff>160421</xdr:rowOff>
    </xdr:to>
    <xdr:sp macro="" textlink="">
      <xdr:nvSpPr>
        <xdr:cNvPr id="2114" name="Rectangle: Rounded Corners 2113">
          <a:extLst>
            <a:ext uri="{FF2B5EF4-FFF2-40B4-BE49-F238E27FC236}">
              <a16:creationId xmlns:a16="http://schemas.microsoft.com/office/drawing/2014/main" id="{C506856A-D40F-8455-A011-F7F47F720683}"/>
            </a:ext>
          </a:extLst>
        </xdr:cNvPr>
        <xdr:cNvSpPr/>
      </xdr:nvSpPr>
      <xdr:spPr>
        <a:xfrm>
          <a:off x="34376" y="1948168"/>
          <a:ext cx="1528813" cy="1155150"/>
        </a:xfrm>
        <a:prstGeom prst="roundRect">
          <a:avLst>
            <a:gd name="adj" fmla="val 7467"/>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2</xdr:col>
      <xdr:colOff>248355</xdr:colOff>
      <xdr:row>7</xdr:row>
      <xdr:rowOff>104502</xdr:rowOff>
    </xdr:from>
    <xdr:to>
      <xdr:col>4</xdr:col>
      <xdr:colOff>385536</xdr:colOff>
      <xdr:row>9</xdr:row>
      <xdr:rowOff>148045</xdr:rowOff>
    </xdr:to>
    <xdr:graphicFrame macro="">
      <xdr:nvGraphicFramePr>
        <xdr:cNvPr id="2120" name="Chart 2119">
          <a:hlinkClick xmlns:r="http://schemas.openxmlformats.org/officeDocument/2006/relationships" r:id="rId7"/>
          <a:extLst>
            <a:ext uri="{FF2B5EF4-FFF2-40B4-BE49-F238E27FC236}">
              <a16:creationId xmlns:a16="http://schemas.microsoft.com/office/drawing/2014/main" id="{E7FFE9C4-6E53-4B45-A18C-B72FFCCC8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336821</xdr:colOff>
      <xdr:row>7</xdr:row>
      <xdr:rowOff>157825</xdr:rowOff>
    </xdr:from>
    <xdr:to>
      <xdr:col>6</xdr:col>
      <xdr:colOff>355809</xdr:colOff>
      <xdr:row>9</xdr:row>
      <xdr:rowOff>23009</xdr:rowOff>
    </xdr:to>
    <xdr:graphicFrame macro="">
      <xdr:nvGraphicFramePr>
        <xdr:cNvPr id="2129" name="Chart 2128">
          <a:hlinkClick xmlns:r="http://schemas.openxmlformats.org/officeDocument/2006/relationships" r:id="rId9"/>
          <a:extLst>
            <a:ext uri="{FF2B5EF4-FFF2-40B4-BE49-F238E27FC236}">
              <a16:creationId xmlns:a16="http://schemas.microsoft.com/office/drawing/2014/main" id="{894462A9-EE7E-424A-B8BD-ADBA8E705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219906</xdr:colOff>
      <xdr:row>7</xdr:row>
      <xdr:rowOff>47846</xdr:rowOff>
    </xdr:from>
    <xdr:to>
      <xdr:col>8</xdr:col>
      <xdr:colOff>281276</xdr:colOff>
      <xdr:row>9</xdr:row>
      <xdr:rowOff>23663</xdr:rowOff>
    </xdr:to>
    <xdr:graphicFrame macro="">
      <xdr:nvGraphicFramePr>
        <xdr:cNvPr id="2130" name="Chart 2129">
          <a:hlinkClick xmlns:r="http://schemas.openxmlformats.org/officeDocument/2006/relationships" r:id="rId11"/>
          <a:extLst>
            <a:ext uri="{FF2B5EF4-FFF2-40B4-BE49-F238E27FC236}">
              <a16:creationId xmlns:a16="http://schemas.microsoft.com/office/drawing/2014/main" id="{ECD51093-4137-4028-9653-E3B5F48FD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3</xdr:row>
      <xdr:rowOff>167573</xdr:rowOff>
    </xdr:from>
    <xdr:to>
      <xdr:col>2</xdr:col>
      <xdr:colOff>425303</xdr:colOff>
      <xdr:row>10</xdr:row>
      <xdr:rowOff>85572</xdr:rowOff>
    </xdr:to>
    <xdr:graphicFrame macro="">
      <xdr:nvGraphicFramePr>
        <xdr:cNvPr id="3" name="Chart 2">
          <a:extLst>
            <a:ext uri="{FF2B5EF4-FFF2-40B4-BE49-F238E27FC236}">
              <a16:creationId xmlns:a16="http://schemas.microsoft.com/office/drawing/2014/main" id="{EC102AE4-DEA8-4B27-9A0B-6A41E7596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39872</xdr:colOff>
      <xdr:row>9</xdr:row>
      <xdr:rowOff>26062</xdr:rowOff>
    </xdr:from>
    <xdr:to>
      <xdr:col>2</xdr:col>
      <xdr:colOff>385430</xdr:colOff>
      <xdr:row>10</xdr:row>
      <xdr:rowOff>79225</xdr:rowOff>
    </xdr:to>
    <xdr:sp macro="" textlink="">
      <xdr:nvSpPr>
        <xdr:cNvPr id="4" name="TextBox 3">
          <a:extLst>
            <a:ext uri="{FF2B5EF4-FFF2-40B4-BE49-F238E27FC236}">
              <a16:creationId xmlns:a16="http://schemas.microsoft.com/office/drawing/2014/main" id="{0F309815-588C-C8BF-A1F8-E3F4D6F6D259}"/>
            </a:ext>
          </a:extLst>
        </xdr:cNvPr>
        <xdr:cNvSpPr txBox="1"/>
      </xdr:nvSpPr>
      <xdr:spPr>
        <a:xfrm>
          <a:off x="39872" y="1681441"/>
          <a:ext cx="1564758" cy="237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lumMod val="60000"/>
                  <a:lumOff val="40000"/>
                </a:schemeClr>
              </a:solidFill>
              <a:latin typeface="+mn-lt"/>
              <a:ea typeface="+mn-ea"/>
              <a:cs typeface="Aharoni" panose="020F0502020204030204" pitchFamily="2" charset="-79"/>
            </a:rPr>
            <a:t>Count of Patient Gender</a:t>
          </a:r>
        </a:p>
      </xdr:txBody>
    </xdr:sp>
    <xdr:clientData/>
  </xdr:twoCellAnchor>
  <xdr:twoCellAnchor editAs="absolute">
    <xdr:from>
      <xdr:col>8</xdr:col>
      <xdr:colOff>245118</xdr:colOff>
      <xdr:row>0</xdr:row>
      <xdr:rowOff>35443</xdr:rowOff>
    </xdr:from>
    <xdr:to>
      <xdr:col>11</xdr:col>
      <xdr:colOff>150627</xdr:colOff>
      <xdr:row>8</xdr:row>
      <xdr:rowOff>75314</xdr:rowOff>
    </xdr:to>
    <xdr:sp macro="" textlink="">
      <xdr:nvSpPr>
        <xdr:cNvPr id="5" name="Rectangle: Rounded Corners 4">
          <a:extLst>
            <a:ext uri="{FF2B5EF4-FFF2-40B4-BE49-F238E27FC236}">
              <a16:creationId xmlns:a16="http://schemas.microsoft.com/office/drawing/2014/main" id="{A2FD0142-5DAF-C067-C179-CCA053869F1E}"/>
            </a:ext>
          </a:extLst>
        </xdr:cNvPr>
        <xdr:cNvSpPr/>
      </xdr:nvSpPr>
      <xdr:spPr>
        <a:xfrm>
          <a:off x="5104866" y="35443"/>
          <a:ext cx="1727915" cy="1489270"/>
        </a:xfrm>
        <a:prstGeom prst="roundRect">
          <a:avLst>
            <a:gd name="adj" fmla="val 3944"/>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600">
            <a:solidFill>
              <a:schemeClr val="bg2"/>
            </a:solidFill>
            <a:latin typeface="+mj-lt"/>
          </a:endParaRPr>
        </a:p>
      </xdr:txBody>
    </xdr:sp>
    <xdr:clientData/>
  </xdr:twoCellAnchor>
  <xdr:twoCellAnchor editAs="absolute">
    <xdr:from>
      <xdr:col>8</xdr:col>
      <xdr:colOff>241962</xdr:colOff>
      <xdr:row>8</xdr:row>
      <xdr:rowOff>115187</xdr:rowOff>
    </xdr:from>
    <xdr:to>
      <xdr:col>11</xdr:col>
      <xdr:colOff>150628</xdr:colOff>
      <xdr:row>16</xdr:row>
      <xdr:rowOff>159488</xdr:rowOff>
    </xdr:to>
    <xdr:sp macro="" textlink="">
      <xdr:nvSpPr>
        <xdr:cNvPr id="7" name="Rectangle: Rounded Corners 6">
          <a:extLst>
            <a:ext uri="{FF2B5EF4-FFF2-40B4-BE49-F238E27FC236}">
              <a16:creationId xmlns:a16="http://schemas.microsoft.com/office/drawing/2014/main" id="{59054D6D-BF04-1861-B489-93B8B4BA4DAE}"/>
            </a:ext>
          </a:extLst>
        </xdr:cNvPr>
        <xdr:cNvSpPr/>
      </xdr:nvSpPr>
      <xdr:spPr>
        <a:xfrm>
          <a:off x="5124540" y="1588628"/>
          <a:ext cx="1739633" cy="1517742"/>
        </a:xfrm>
        <a:prstGeom prst="roundRect">
          <a:avLst>
            <a:gd name="adj" fmla="val 3657"/>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600">
            <a:solidFill>
              <a:schemeClr val="bg2"/>
            </a:solidFill>
            <a:latin typeface="+mj-lt"/>
          </a:endParaRPr>
        </a:p>
      </xdr:txBody>
    </xdr:sp>
    <xdr:clientData/>
  </xdr:twoCellAnchor>
  <xdr:twoCellAnchor>
    <xdr:from>
      <xdr:col>8</xdr:col>
      <xdr:colOff>302339</xdr:colOff>
      <xdr:row>0</xdr:row>
      <xdr:rowOff>94080</xdr:rowOff>
    </xdr:from>
    <xdr:to>
      <xdr:col>11</xdr:col>
      <xdr:colOff>77423</xdr:colOff>
      <xdr:row>7</xdr:row>
      <xdr:rowOff>58176</xdr:rowOff>
    </xdr:to>
    <xdr:graphicFrame macro="">
      <xdr:nvGraphicFramePr>
        <xdr:cNvPr id="9" name="Chart 8">
          <a:extLst>
            <a:ext uri="{FF2B5EF4-FFF2-40B4-BE49-F238E27FC236}">
              <a16:creationId xmlns:a16="http://schemas.microsoft.com/office/drawing/2014/main" id="{EE06FDC2-9238-442A-9D6E-4EA7771DD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464039</xdr:colOff>
      <xdr:row>6</xdr:row>
      <xdr:rowOff>166610</xdr:rowOff>
    </xdr:from>
    <xdr:to>
      <xdr:col>11</xdr:col>
      <xdr:colOff>52426</xdr:colOff>
      <xdr:row>8</xdr:row>
      <xdr:rowOff>156407</xdr:rowOff>
    </xdr:to>
    <xdr:sp macro="" textlink="">
      <xdr:nvSpPr>
        <xdr:cNvPr id="10" name="TextBox 9">
          <a:extLst>
            <a:ext uri="{FF2B5EF4-FFF2-40B4-BE49-F238E27FC236}">
              <a16:creationId xmlns:a16="http://schemas.microsoft.com/office/drawing/2014/main" id="{D30A9E3D-3D8E-579F-F978-7E8D32263C90}"/>
            </a:ext>
          </a:extLst>
        </xdr:cNvPr>
        <xdr:cNvSpPr txBox="1"/>
      </xdr:nvSpPr>
      <xdr:spPr>
        <a:xfrm>
          <a:off x="5361680" y="1260764"/>
          <a:ext cx="1425002" cy="354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solidFill>
                <a:schemeClr val="accent1">
                  <a:lumMod val="60000"/>
                  <a:lumOff val="40000"/>
                </a:schemeClr>
              </a:solidFill>
              <a:latin typeface="+mn-lt"/>
              <a:ea typeface="+mn-ea"/>
              <a:cs typeface="Aharoni" panose="020F0502020204030204" pitchFamily="2" charset="-79"/>
            </a:rPr>
            <a:t> Patient by Age group</a:t>
          </a:r>
        </a:p>
      </xdr:txBody>
    </xdr:sp>
    <xdr:clientData/>
  </xdr:twoCellAnchor>
  <xdr:twoCellAnchor>
    <xdr:from>
      <xdr:col>8</xdr:col>
      <xdr:colOff>306967</xdr:colOff>
      <xdr:row>8</xdr:row>
      <xdr:rowOff>107243</xdr:rowOff>
    </xdr:from>
    <xdr:to>
      <xdr:col>11</xdr:col>
      <xdr:colOff>117448</xdr:colOff>
      <xdr:row>17</xdr:row>
      <xdr:rowOff>39510</xdr:rowOff>
    </xdr:to>
    <xdr:graphicFrame macro="">
      <xdr:nvGraphicFramePr>
        <xdr:cNvPr id="11" name="Chart 10">
          <a:extLst>
            <a:ext uri="{FF2B5EF4-FFF2-40B4-BE49-F238E27FC236}">
              <a16:creationId xmlns:a16="http://schemas.microsoft.com/office/drawing/2014/main" id="{5AFB318D-981F-40BC-84F7-358186297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486832</xdr:colOff>
      <xdr:row>15</xdr:row>
      <xdr:rowOff>91722</xdr:rowOff>
    </xdr:from>
    <xdr:to>
      <xdr:col>11</xdr:col>
      <xdr:colOff>134054</xdr:colOff>
      <xdr:row>17</xdr:row>
      <xdr:rowOff>7056</xdr:rowOff>
    </xdr:to>
    <xdr:sp macro="" textlink="">
      <xdr:nvSpPr>
        <xdr:cNvPr id="12" name="TextBox 11">
          <a:extLst>
            <a:ext uri="{FF2B5EF4-FFF2-40B4-BE49-F238E27FC236}">
              <a16:creationId xmlns:a16="http://schemas.microsoft.com/office/drawing/2014/main" id="{287F7D2E-FD33-0D85-AB72-FAD9A48077C4}"/>
            </a:ext>
          </a:extLst>
        </xdr:cNvPr>
        <xdr:cNvSpPr txBox="1"/>
      </xdr:nvSpPr>
      <xdr:spPr>
        <a:xfrm>
          <a:off x="5341054" y="2843389"/>
          <a:ext cx="1467556"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solidFill>
                <a:schemeClr val="accent1">
                  <a:lumMod val="60000"/>
                  <a:lumOff val="40000"/>
                </a:schemeClr>
              </a:solidFill>
              <a:latin typeface="+mn-lt"/>
              <a:ea typeface="+mn-ea"/>
              <a:cs typeface="Aharoni" panose="020F0502020204030204" pitchFamily="2" charset="-79"/>
            </a:rPr>
            <a:t>Patient attend Status</a:t>
          </a:r>
        </a:p>
      </xdr:txBody>
    </xdr:sp>
    <xdr:clientData/>
  </xdr:twoCellAnchor>
  <xdr:twoCellAnchor>
    <xdr:from>
      <xdr:col>0</xdr:col>
      <xdr:colOff>31531</xdr:colOff>
      <xdr:row>10</xdr:row>
      <xdr:rowOff>40748</xdr:rowOff>
    </xdr:from>
    <xdr:to>
      <xdr:col>2</xdr:col>
      <xdr:colOff>318581</xdr:colOff>
      <xdr:row>15</xdr:row>
      <xdr:rowOff>126123</xdr:rowOff>
    </xdr:to>
    <xdr:graphicFrame macro="">
      <xdr:nvGraphicFramePr>
        <xdr:cNvPr id="14" name="Chart 13">
          <a:extLst>
            <a:ext uri="{FF2B5EF4-FFF2-40B4-BE49-F238E27FC236}">
              <a16:creationId xmlns:a16="http://schemas.microsoft.com/office/drawing/2014/main" id="{421C00D6-1D30-400F-A1B7-9F1CCB0E6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131380</xdr:colOff>
      <xdr:row>15</xdr:row>
      <xdr:rowOff>89337</xdr:rowOff>
    </xdr:from>
    <xdr:to>
      <xdr:col>2</xdr:col>
      <xdr:colOff>367862</xdr:colOff>
      <xdr:row>16</xdr:row>
      <xdr:rowOff>136634</xdr:rowOff>
    </xdr:to>
    <xdr:sp macro="" textlink="">
      <xdr:nvSpPr>
        <xdr:cNvPr id="15" name="TextBox 14">
          <a:extLst>
            <a:ext uri="{FF2B5EF4-FFF2-40B4-BE49-F238E27FC236}">
              <a16:creationId xmlns:a16="http://schemas.microsoft.com/office/drawing/2014/main" id="{95D464B9-519F-78FF-2647-2DF27CC4EA30}"/>
            </a:ext>
          </a:extLst>
        </xdr:cNvPr>
        <xdr:cNvSpPr txBox="1"/>
      </xdr:nvSpPr>
      <xdr:spPr>
        <a:xfrm>
          <a:off x="131380" y="2848303"/>
          <a:ext cx="1455682" cy="23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solidFill>
                <a:schemeClr val="accent1">
                  <a:lumMod val="60000"/>
                  <a:lumOff val="40000"/>
                </a:schemeClr>
              </a:solidFill>
              <a:latin typeface="+mn-lt"/>
              <a:ea typeface="+mn-ea"/>
              <a:cs typeface="Aharoni" panose="020F0502020204030204" pitchFamily="2" charset="-79"/>
            </a:rPr>
            <a:t>Department Referral</a:t>
          </a:r>
        </a:p>
      </xdr:txBody>
    </xdr:sp>
    <xdr:clientData/>
  </xdr:twoCellAnchor>
  <xdr:twoCellAnchor editAs="absolute">
    <xdr:from>
      <xdr:col>2</xdr:col>
      <xdr:colOff>376717</xdr:colOff>
      <xdr:row>9</xdr:row>
      <xdr:rowOff>41542</xdr:rowOff>
    </xdr:from>
    <xdr:to>
      <xdr:col>8</xdr:col>
      <xdr:colOff>206963</xdr:colOff>
      <xdr:row>12</xdr:row>
      <xdr:rowOff>29948</xdr:rowOff>
    </xdr:to>
    <xdr:sp macro="" textlink="">
      <xdr:nvSpPr>
        <xdr:cNvPr id="16" name="Rectangle: Rounded Corners 15">
          <a:extLst>
            <a:ext uri="{FF2B5EF4-FFF2-40B4-BE49-F238E27FC236}">
              <a16:creationId xmlns:a16="http://schemas.microsoft.com/office/drawing/2014/main" id="{01AFB79E-C44B-9687-8B45-ACE36736FAAE}"/>
            </a:ext>
          </a:extLst>
        </xdr:cNvPr>
        <xdr:cNvSpPr/>
      </xdr:nvSpPr>
      <xdr:spPr>
        <a:xfrm>
          <a:off x="1594586" y="1688660"/>
          <a:ext cx="3483853" cy="537445"/>
        </a:xfrm>
        <a:prstGeom prst="roundRect">
          <a:avLst>
            <a:gd name="adj" fmla="val 5419"/>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600">
            <a:solidFill>
              <a:schemeClr val="bg2"/>
            </a:solidFill>
            <a:latin typeface="+mj-lt"/>
          </a:endParaRPr>
        </a:p>
      </xdr:txBody>
    </xdr:sp>
    <xdr:clientData/>
  </xdr:twoCellAnchor>
  <xdr:twoCellAnchor editAs="absolute">
    <xdr:from>
      <xdr:col>2</xdr:col>
      <xdr:colOff>376717</xdr:colOff>
      <xdr:row>12</xdr:row>
      <xdr:rowOff>63223</xdr:rowOff>
    </xdr:from>
    <xdr:to>
      <xdr:col>8</xdr:col>
      <xdr:colOff>206963</xdr:colOff>
      <xdr:row>16</xdr:row>
      <xdr:rowOff>159925</xdr:rowOff>
    </xdr:to>
    <xdr:sp macro="" textlink="">
      <xdr:nvSpPr>
        <xdr:cNvPr id="17" name="Rectangle: Rounded Corners 16">
          <a:extLst>
            <a:ext uri="{FF2B5EF4-FFF2-40B4-BE49-F238E27FC236}">
              <a16:creationId xmlns:a16="http://schemas.microsoft.com/office/drawing/2014/main" id="{8A8AAB3D-CB68-C5A1-2C3F-5560F955469A}"/>
            </a:ext>
          </a:extLst>
        </xdr:cNvPr>
        <xdr:cNvSpPr/>
      </xdr:nvSpPr>
      <xdr:spPr>
        <a:xfrm>
          <a:off x="1594586" y="2259380"/>
          <a:ext cx="3483853" cy="828755"/>
        </a:xfrm>
        <a:prstGeom prst="roundRect">
          <a:avLst>
            <a:gd name="adj" fmla="val 5419"/>
          </a:avLst>
        </a:prstGeom>
        <a:solidFill>
          <a:schemeClr val="bg1"/>
        </a:solidFill>
        <a:ln>
          <a:solidFill>
            <a:schemeClr val="bg1"/>
          </a:solidFill>
          <a:extLst>
            <a:ext uri="{C807C97D-BFC1-408E-A445-0C87EB9F89A2}">
              <ask:lineSketchStyleProps xmlns:ask="http://schemas.microsoft.com/office/drawing/2018/sketchyshapes" sd="1219033472">
                <a:custGeom>
                  <a:avLst/>
                  <a:gdLst>
                    <a:gd name="connsiteX0" fmla="*/ 0 w 5270864"/>
                    <a:gd name="connsiteY0" fmla="*/ 170425 h 1022532"/>
                    <a:gd name="connsiteX1" fmla="*/ 170425 w 5270864"/>
                    <a:gd name="connsiteY1" fmla="*/ 0 h 1022532"/>
                    <a:gd name="connsiteX2" fmla="*/ 5100439 w 5270864"/>
                    <a:gd name="connsiteY2" fmla="*/ 0 h 1022532"/>
                    <a:gd name="connsiteX3" fmla="*/ 5270864 w 5270864"/>
                    <a:gd name="connsiteY3" fmla="*/ 170425 h 1022532"/>
                    <a:gd name="connsiteX4" fmla="*/ 5270864 w 5270864"/>
                    <a:gd name="connsiteY4" fmla="*/ 852107 h 1022532"/>
                    <a:gd name="connsiteX5" fmla="*/ 5100439 w 5270864"/>
                    <a:gd name="connsiteY5" fmla="*/ 1022532 h 1022532"/>
                    <a:gd name="connsiteX6" fmla="*/ 170425 w 5270864"/>
                    <a:gd name="connsiteY6" fmla="*/ 1022532 h 1022532"/>
                    <a:gd name="connsiteX7" fmla="*/ 0 w 5270864"/>
                    <a:gd name="connsiteY7" fmla="*/ 852107 h 1022532"/>
                    <a:gd name="connsiteX8" fmla="*/ 0 w 5270864"/>
                    <a:gd name="connsiteY8" fmla="*/ 170425 h 10225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270864" h="1022532" extrusionOk="0">
                      <a:moveTo>
                        <a:pt x="0" y="170425"/>
                      </a:moveTo>
                      <a:cubicBezTo>
                        <a:pt x="-7376" y="71752"/>
                        <a:pt x="66707" y="3601"/>
                        <a:pt x="170425" y="0"/>
                      </a:cubicBezTo>
                      <a:cubicBezTo>
                        <a:pt x="1384010" y="132882"/>
                        <a:pt x="2932263" y="-84951"/>
                        <a:pt x="5100439" y="0"/>
                      </a:cubicBezTo>
                      <a:cubicBezTo>
                        <a:pt x="5189079" y="5354"/>
                        <a:pt x="5269606" y="83253"/>
                        <a:pt x="5270864" y="170425"/>
                      </a:cubicBezTo>
                      <a:cubicBezTo>
                        <a:pt x="5317543" y="294037"/>
                        <a:pt x="5209767" y="746125"/>
                        <a:pt x="5270864" y="852107"/>
                      </a:cubicBezTo>
                      <a:cubicBezTo>
                        <a:pt x="5273336" y="946523"/>
                        <a:pt x="5200602" y="1010102"/>
                        <a:pt x="5100439" y="1022532"/>
                      </a:cubicBezTo>
                      <a:cubicBezTo>
                        <a:pt x="3638414" y="1110171"/>
                        <a:pt x="2232585" y="949853"/>
                        <a:pt x="170425" y="1022532"/>
                      </a:cubicBezTo>
                      <a:cubicBezTo>
                        <a:pt x="74652" y="1006795"/>
                        <a:pt x="-8228" y="957664"/>
                        <a:pt x="0" y="852107"/>
                      </a:cubicBezTo>
                      <a:cubicBezTo>
                        <a:pt x="-56409" y="667928"/>
                        <a:pt x="-46893" y="260536"/>
                        <a:pt x="0" y="170425"/>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600">
            <a:solidFill>
              <a:schemeClr val="bg2"/>
            </a:solidFill>
            <a:latin typeface="+mj-lt"/>
          </a:endParaRPr>
        </a:p>
      </xdr:txBody>
    </xdr:sp>
    <xdr:clientData/>
  </xdr:twoCellAnchor>
  <xdr:twoCellAnchor>
    <xdr:from>
      <xdr:col>2</xdr:col>
      <xdr:colOff>391745</xdr:colOff>
      <xdr:row>11</xdr:row>
      <xdr:rowOff>129489</xdr:rowOff>
    </xdr:from>
    <xdr:to>
      <xdr:col>8</xdr:col>
      <xdr:colOff>251012</xdr:colOff>
      <xdr:row>17</xdr:row>
      <xdr:rowOff>62751</xdr:rowOff>
    </xdr:to>
    <xdr:graphicFrame macro="">
      <xdr:nvGraphicFramePr>
        <xdr:cNvPr id="18" name="Chart 17">
          <a:extLst>
            <a:ext uri="{FF2B5EF4-FFF2-40B4-BE49-F238E27FC236}">
              <a16:creationId xmlns:a16="http://schemas.microsoft.com/office/drawing/2014/main" id="{A0D6D840-A21D-46E1-91C9-6914B595F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224118</xdr:colOff>
      <xdr:row>12</xdr:row>
      <xdr:rowOff>97799</xdr:rowOff>
    </xdr:from>
    <xdr:to>
      <xdr:col>7</xdr:col>
      <xdr:colOff>36674</xdr:colOff>
      <xdr:row>14</xdr:row>
      <xdr:rowOff>16301</xdr:rowOff>
    </xdr:to>
    <xdr:sp macro="" textlink="">
      <xdr:nvSpPr>
        <xdr:cNvPr id="19" name="TextBox 18">
          <a:extLst>
            <a:ext uri="{FF2B5EF4-FFF2-40B4-BE49-F238E27FC236}">
              <a16:creationId xmlns:a16="http://schemas.microsoft.com/office/drawing/2014/main" id="{0B1B34DF-F69B-8081-4E5C-A04805D75340}"/>
            </a:ext>
          </a:extLst>
        </xdr:cNvPr>
        <xdr:cNvSpPr txBox="1"/>
      </xdr:nvSpPr>
      <xdr:spPr>
        <a:xfrm>
          <a:off x="2669038" y="2298227"/>
          <a:ext cx="1646246" cy="28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lumMod val="60000"/>
                  <a:lumOff val="40000"/>
                </a:schemeClr>
              </a:solidFill>
              <a:latin typeface="+mn-lt"/>
              <a:ea typeface="+mn-ea"/>
              <a:cs typeface="Aharoni" panose="020F0502020204030204" pitchFamily="2" charset="-79"/>
            </a:rPr>
            <a:t>Count of Patient Race</a:t>
          </a:r>
        </a:p>
      </xdr:txBody>
    </xdr:sp>
    <xdr:clientData/>
  </xdr:twoCellAnchor>
  <mc:AlternateContent xmlns:mc="http://schemas.openxmlformats.org/markup-compatibility/2006">
    <mc:Choice xmlns:a14="http://schemas.microsoft.com/office/drawing/2010/main" Requires="a14">
      <xdr:twoCellAnchor editAs="oneCell">
        <xdr:from>
          <xdr:col>2</xdr:col>
          <xdr:colOff>364902</xdr:colOff>
          <xdr:row>9</xdr:row>
          <xdr:rowOff>32197</xdr:rowOff>
        </xdr:from>
        <xdr:to>
          <xdr:col>8</xdr:col>
          <xdr:colOff>216995</xdr:colOff>
          <xdr:row>12</xdr:row>
          <xdr:rowOff>27519</xdr:rowOff>
        </xdr:to>
        <xdr:pic>
          <xdr:nvPicPr>
            <xdr:cNvPr id="26" name="Picture 25">
              <a:extLst>
                <a:ext uri="{FF2B5EF4-FFF2-40B4-BE49-F238E27FC236}">
                  <a16:creationId xmlns:a16="http://schemas.microsoft.com/office/drawing/2014/main" id="{FA880BAC-82D6-294C-AD9B-3159C0F5F653}"/>
                </a:ext>
              </a:extLst>
            </xdr:cNvPr>
            <xdr:cNvPicPr>
              <a:picLocks noChangeAspect="1" noChangeArrowheads="1"/>
              <a:extLst>
                <a:ext uri="{84589F7E-364E-4C9E-8A38-B11213B215E9}">
                  <a14:cameraTool cellRange="'Pivot Report'!$A$63:$C$65" spid="_x0000_s1061"/>
                </a:ext>
              </a:extLst>
            </xdr:cNvPicPr>
          </xdr:nvPicPr>
          <xdr:blipFill>
            <a:blip xmlns:r="http://schemas.openxmlformats.org/officeDocument/2006/relationships" r:embed="rId18"/>
            <a:srcRect/>
            <a:stretch>
              <a:fillRect/>
            </a:stretch>
          </xdr:blipFill>
          <xdr:spPr bwMode="auto">
            <a:xfrm>
              <a:off x="1586121" y="1667217"/>
              <a:ext cx="3515748" cy="540328"/>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twoCellAnchor editAs="oneCell">
    <xdr:from>
      <xdr:col>6</xdr:col>
      <xdr:colOff>376517</xdr:colOff>
      <xdr:row>0</xdr:row>
      <xdr:rowOff>53789</xdr:rowOff>
    </xdr:from>
    <xdr:to>
      <xdr:col>8</xdr:col>
      <xdr:colOff>192740</xdr:colOff>
      <xdr:row>3</xdr:row>
      <xdr:rowOff>156883</xdr:rowOff>
    </xdr:to>
    <mc:AlternateContent xmlns:mc="http://schemas.openxmlformats.org/markup-compatibility/2006" xmlns:a14="http://schemas.microsoft.com/office/drawing/2010/main">
      <mc:Choice Requires="a14">
        <xdr:graphicFrame macro="">
          <xdr:nvGraphicFramePr>
            <xdr:cNvPr id="27" name="Date (Year)">
              <a:extLst>
                <a:ext uri="{FF2B5EF4-FFF2-40B4-BE49-F238E27FC236}">
                  <a16:creationId xmlns:a16="http://schemas.microsoft.com/office/drawing/2014/main" id="{17CB4F02-D7F4-46A2-89EB-859CCF4115E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040173" y="53789"/>
              <a:ext cx="1037441" cy="648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297180</xdr:colOff>
      <xdr:row>1</xdr:row>
      <xdr:rowOff>0</xdr:rowOff>
    </xdr:from>
    <xdr:to>
      <xdr:col>15</xdr:col>
      <xdr:colOff>320040</xdr:colOff>
      <xdr:row>27</xdr:row>
      <xdr:rowOff>106680</xdr:rowOff>
    </xdr:to>
    <xdr:graphicFrame macro="">
      <xdr:nvGraphicFramePr>
        <xdr:cNvPr id="2" name="Chart 1">
          <a:extLst>
            <a:ext uri="{FF2B5EF4-FFF2-40B4-BE49-F238E27FC236}">
              <a16:creationId xmlns:a16="http://schemas.microsoft.com/office/drawing/2014/main" id="{8058FADA-DD89-41C9-AC43-C6C819E8C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0.95454</cdr:x>
      <cdr:y>0.00313</cdr:y>
    </cdr:from>
    <cdr:to>
      <cdr:x>0.99668</cdr:x>
      <cdr:y>0.08258</cdr:y>
    </cdr:to>
    <cdr:pic>
      <cdr:nvPicPr>
        <cdr:cNvPr id="3" name="Graphic 2" descr="Projector screen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FE0D976-D090-58D5-58FA-6D5C3EC90CF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773472" y="15280"/>
          <a:ext cx="387276" cy="38725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423258</xdr:colOff>
      <xdr:row>1</xdr:row>
      <xdr:rowOff>67759</xdr:rowOff>
    </xdr:from>
    <xdr:to>
      <xdr:col>15</xdr:col>
      <xdr:colOff>453738</xdr:colOff>
      <xdr:row>27</xdr:row>
      <xdr:rowOff>60138</xdr:rowOff>
    </xdr:to>
    <xdr:graphicFrame macro="">
      <xdr:nvGraphicFramePr>
        <xdr:cNvPr id="2" name="Chart 1">
          <a:extLst>
            <a:ext uri="{FF2B5EF4-FFF2-40B4-BE49-F238E27FC236}">
              <a16:creationId xmlns:a16="http://schemas.microsoft.com/office/drawing/2014/main" id="{E9AE2E35-DC56-43DF-8605-036B71C3A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487090</xdr:colOff>
      <xdr:row>1</xdr:row>
      <xdr:rowOff>144427</xdr:rowOff>
    </xdr:from>
    <xdr:to>
      <xdr:col>1</xdr:col>
      <xdr:colOff>252524</xdr:colOff>
      <xdr:row>3</xdr:row>
      <xdr:rowOff>153582</xdr:rowOff>
    </xdr:to>
    <xdr:pic>
      <xdr:nvPicPr>
        <xdr:cNvPr id="4" name="Graphic 3" descr="Projector screen with solid fill">
          <a:hlinkClick xmlns:r="http://schemas.openxmlformats.org/officeDocument/2006/relationships" r:id="rId2"/>
          <a:extLst>
            <a:ext uri="{FF2B5EF4-FFF2-40B4-BE49-F238E27FC236}">
              <a16:creationId xmlns:a16="http://schemas.microsoft.com/office/drawing/2014/main" id="{3327FF88-D3CA-DEA5-17CB-1D12C00796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7090" y="327543"/>
          <a:ext cx="373853" cy="3753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377505</xdr:colOff>
      <xdr:row>0</xdr:row>
      <xdr:rowOff>146807</xdr:rowOff>
    </xdr:from>
    <xdr:to>
      <xdr:col>15</xdr:col>
      <xdr:colOff>317943</xdr:colOff>
      <xdr:row>26</xdr:row>
      <xdr:rowOff>162047</xdr:rowOff>
    </xdr:to>
    <xdr:grpSp>
      <xdr:nvGrpSpPr>
        <xdr:cNvPr id="11" name="Group 10">
          <a:extLst>
            <a:ext uri="{FF2B5EF4-FFF2-40B4-BE49-F238E27FC236}">
              <a16:creationId xmlns:a16="http://schemas.microsoft.com/office/drawing/2014/main" id="{005FBCD3-C776-A24E-F7D9-BF10814985D4}"/>
            </a:ext>
          </a:extLst>
        </xdr:cNvPr>
        <xdr:cNvGrpSpPr/>
      </xdr:nvGrpSpPr>
      <xdr:grpSpPr>
        <a:xfrm>
          <a:off x="377505" y="146807"/>
          <a:ext cx="9035277" cy="4849434"/>
          <a:chOff x="377505" y="146807"/>
          <a:chExt cx="9063466" cy="4887846"/>
        </a:xfrm>
      </xdr:grpSpPr>
      <xdr:graphicFrame macro="">
        <xdr:nvGraphicFramePr>
          <xdr:cNvPr id="2" name="Chart 1">
            <a:extLst>
              <a:ext uri="{FF2B5EF4-FFF2-40B4-BE49-F238E27FC236}">
                <a16:creationId xmlns:a16="http://schemas.microsoft.com/office/drawing/2014/main" id="{8DF4151B-9117-4B22-A312-E18255F1DBBC}"/>
              </a:ext>
            </a:extLst>
          </xdr:cNvPr>
          <xdr:cNvGraphicFramePr>
            <a:graphicFrameLocks/>
          </xdr:cNvGraphicFramePr>
        </xdr:nvGraphicFramePr>
        <xdr:xfrm>
          <a:off x="377505" y="146807"/>
          <a:ext cx="9063466" cy="4887846"/>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10" name="Graphic 9" descr="Projector screen with solid fill">
            <a:hlinkClick xmlns:r="http://schemas.openxmlformats.org/officeDocument/2006/relationships" r:id="rId2"/>
            <a:extLst>
              <a:ext uri="{FF2B5EF4-FFF2-40B4-BE49-F238E27FC236}">
                <a16:creationId xmlns:a16="http://schemas.microsoft.com/office/drawing/2014/main" id="{00417FDD-97E5-CEBF-29A7-02D2034DE85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3431" y="207585"/>
            <a:ext cx="339807" cy="344691"/>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1342595" createdVersion="5" refreshedVersion="8" minRefreshableVersion="3" recordCount="0" supportSubquery="1" supportAdvancedDrill="1" xr:uid="{4E0F1E02-47D5-49CD-966D-775CA15086FA}">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1458333" createdVersion="5" refreshedVersion="8" minRefreshableVersion="3" recordCount="0" supportSubquery="1" supportAdvancedDrill="1" xr:uid="{C85EAB40-123B-4502-89A4-B4F91AB16BD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1574072" createdVersion="5" refreshedVersion="8" minRefreshableVersion="3" recordCount="0" supportSubquery="1" supportAdvancedDrill="1" xr:uid="{5C808134-0ADE-4702-8C1D-8B36ED2CC2B2}">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1689818" createdVersion="5" refreshedVersion="8" minRefreshableVersion="3" recordCount="0" supportSubquery="1" supportAdvancedDrill="1" xr:uid="{89D86B6E-CEC6-43E6-9E29-0EBBB074230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2037034" createdVersion="5" refreshedVersion="8" minRefreshableVersion="3" recordCount="0" supportSubquery="1" supportAdvancedDrill="1" xr:uid="{B904DDC2-1EA6-4D6C-8138-33C611B22286}">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2384257" createdVersion="5" refreshedVersion="8" minRefreshableVersion="3" recordCount="0" supportSubquery="1" supportAdvancedDrill="1" xr:uid="{CD83ED01-D83D-416C-9CBA-D23A68A554F2}">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273148" createdVersion="5" refreshedVersion="8" minRefreshableVersion="3" recordCount="0" supportSubquery="1" supportAdvancedDrill="1" xr:uid="{745887B4-D634-4519-8FFD-9CE1C6A6AF0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29"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2962965" createdVersion="5" refreshedVersion="8" minRefreshableVersion="3" recordCount="0" supportSubquery="1" supportAdvancedDrill="1" xr:uid="{53AC0C30-6303-44A9-AEE1-D7FBD6419EA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Patient Age]" caption="Count of Patient Age" numFmtId="0" hierarchy="31"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3310188" createdVersion="5" refreshedVersion="8" minRefreshableVersion="3" recordCount="0" supportSubquery="1" supportAdvancedDrill="1" xr:uid="{27AEE75F-AB62-416A-9FD9-58398908736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3657404" createdVersion="5" refreshedVersion="8" minRefreshableVersion="3" recordCount="0" supportSubquery="1" supportAdvancedDrill="1" xr:uid="{87A2354B-A2C8-4584-A919-EF7AE6123BBB}">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4004628" createdVersion="5" refreshedVersion="8" minRefreshableVersion="3" recordCount="0" supportSubquery="1" supportAdvancedDrill="1" xr:uid="{B357A5A7-D825-48FA-9870-DFB44E0CD40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Race].[Patient Race]" caption="Patient Race" numFmtId="0" hierarchy="11" level="1">
      <sharedItems count="7">
        <s v="African American"/>
        <s v="Asian"/>
        <s v="Declined to Identify"/>
        <s v="Native American/Alaska Native"/>
        <s v="Pacific Islander"/>
        <s v="Two or More Races"/>
        <s v="White"/>
      </sharedItems>
    </cacheField>
    <cacheField name="[Measures].[Count of Patient Race]" caption="Count of Patient Race" numFmtId="0" hierarchy="35"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4236112" createdVersion="5" refreshedVersion="8" minRefreshableVersion="3" recordCount="0" supportSubquery="1" supportAdvancedDrill="1" xr:uid="{2F6FBAF2-2C44-4297-8830-7A39901E0DA0}">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6" level="32767"/>
    <cacheField name="[Calendar_Table].[Date (Year)].[Date (Year)]" caption="Date (Year)"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20564583335" createdVersion="5" refreshedVersion="8" minRefreshableVersion="3" recordCount="0" supportSubquery="1" supportAdvancedDrill="1" xr:uid="{AE45973E-AAE6-4741-9728-38B63932B618}">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907325231485" createdVersion="3" refreshedVersion="8" minRefreshableVersion="3" recordCount="0" supportSubquery="1" supportAdvancedDrill="1" xr:uid="{89351471-B98A-4F9A-A038-BB9A1AEFF77C}">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417649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E80357-B1ED-4795-90A4-5973AB57CE07}" name="PivotTable2" cacheId="2" applyNumberFormats="0" applyBorderFormats="0" applyFontFormats="0" applyPatternFormats="0" applyAlignmentFormats="0" applyWidthHeightFormats="1" dataCaption="Values" tag="4e9e5ed3-2539-45da-a6e9-d72072523fe7"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4225F1-0EF9-48A7-AB9A-E2C41D4F07EC}" name="PivotTable13" cacheId="5" applyNumberFormats="0" applyBorderFormats="0" applyFontFormats="0" applyPatternFormats="0" applyAlignmentFormats="0" applyWidthHeightFormats="1" dataCaption="Values" tag="c26fcdff-26c7-4af6-86e9-7bf6c5f9370e" updatedVersion="8" minRefreshableVersion="3" subtotalHiddenItems="1" itemPrintTitles="1" createdVersion="5" indent="0" outline="1" outlineData="1" multipleFieldFilters="0" chartFormat="77">
  <location ref="L4:M36" firstHeaderRow="1" firstDataRow="1" firstDataCol="1"/>
  <pivotFields count="4">
    <pivotField axis="axisRow" allDrilled="1" subtotalTop="0" showAll="0" sortType="descending" defaultSubtotal="0" defaultAttributeDrillState="1">
      <items count="31">
        <item x="8"/>
        <item x="7"/>
        <item x="6"/>
        <item x="5"/>
        <item x="4"/>
        <item x="3"/>
        <item x="2"/>
        <item x="30"/>
        <item x="29"/>
        <item x="1"/>
        <item x="28"/>
        <item x="27"/>
        <item x="26"/>
        <item x="25"/>
        <item x="24"/>
        <item x="23"/>
        <item x="22"/>
        <item x="21"/>
        <item x="20"/>
        <item x="19"/>
        <item x="0"/>
        <item x="18"/>
        <item x="17"/>
        <item x="16"/>
        <item x="15"/>
        <item x="14"/>
        <item x="13"/>
        <item x="12"/>
        <item x="11"/>
        <item x="10"/>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
      <pivotArea outline="0" collapsedLevelsAreSubtotals="1" fieldPosition="0"/>
    </format>
  </formats>
  <chartFormats count="4">
    <chartFormat chart="68" format="1"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8BFB1-18B6-4EAC-83FB-0C90164A50AE}" name="PivotTable1" cacheId="1" applyNumberFormats="0" applyBorderFormats="0" applyFontFormats="0" applyPatternFormats="0" applyAlignmentFormats="0" applyWidthHeightFormats="1" dataCaption="Values" tag="f2e20c03-89ce-428f-b9ec-1c4ba86da4d6"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FC7CFF-D9DB-4943-A6AA-93EF96378F8B}" name="PivotTable6" cacheId="8"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chartFormat="20">
  <location ref="D50:E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1" baseItem="0"/>
  </dataFields>
  <formats count="2">
    <format dxfId="3">
      <pivotArea outline="0" collapsedLevelsAreSubtotals="1" fieldPosition="0"/>
    </format>
    <format dxfId="2">
      <pivotArea collapsedLevelsAreSubtotals="1" fieldPosition="0">
        <references count="1">
          <reference field="1" count="0"/>
        </references>
      </pivotArea>
    </format>
  </formats>
  <chartFormats count="9">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FF904E-F3D9-4F33-8F4E-FB16165B3582}" name="PivotTable10" cacheId="4" applyNumberFormats="0" applyBorderFormats="0" applyFontFormats="0" applyPatternFormats="0" applyAlignmentFormats="0" applyWidthHeightFormats="1" dataCaption="Values" tag="a6cfea5b-e216-4f12-b628-04bd7857dbef" updatedVersion="8" minRefreshableVersion="3" subtotalHiddenItems="1" itemPrintTitles="1" createdVersion="5" indent="0" outline="1" outlineData="1" multipleFieldFilters="0" chartFormat="68">
  <location ref="I4:J36" firstHeaderRow="1" firstDataRow="1" firstDataCol="1"/>
  <pivotFields count="4">
    <pivotField axis="axisRow" allDrilled="1" subtotalTop="0" showAll="0" sortType="descending" defaultSubtotal="0" defaultAttributeDrillState="1">
      <items count="31">
        <item x="8"/>
        <item x="7"/>
        <item x="6"/>
        <item x="5"/>
        <item x="4"/>
        <item x="3"/>
        <item x="2"/>
        <item x="30"/>
        <item x="29"/>
        <item x="1"/>
        <item x="28"/>
        <item x="27"/>
        <item x="26"/>
        <item x="25"/>
        <item x="24"/>
        <item x="23"/>
        <item x="22"/>
        <item x="21"/>
        <item x="20"/>
        <item x="19"/>
        <item x="0"/>
        <item x="18"/>
        <item x="17"/>
        <item x="16"/>
        <item x="15"/>
        <item x="14"/>
        <item x="13"/>
        <item x="12"/>
        <item x="11"/>
        <item x="10"/>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4">
      <pivotArea outline="0" collapsedLevelsAreSubtotals="1" fieldPosition="0"/>
    </format>
  </formats>
  <chartFormats count="4">
    <chartFormat chart="55"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8" format="6"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D8142C-EFDE-4E25-BC7B-336B4FCA1733}" name="PivotTable4" cacheId="6"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chartFormat="6">
  <location ref="D40:E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9EF9B3-EBE0-43A3-816C-DF802EB2789B}" name="PivotTable3" cacheId="3"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D2586F-B654-4E28-BDEB-C13DB06C9944}" name="PivotTable12" cacheId="12"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chartFormat="6">
  <location ref="E58:E6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
      <pivotArea outline="0" collapsedLevelsAreSubtotals="1" fieldPosition="0"/>
    </format>
  </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0B872E-1455-4BBF-BBA8-D1FFD13932B6}" name="PivotTable11" cacheId="11"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chartFormat="48">
  <location ref="A58:C6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1">
      <pivotArea outline="0" collapsedLevelsAreSubtotals="1" fieldPosition="0"/>
    </format>
    <format dxfId="10">
      <pivotArea collapsedLevelsAreSubtotals="1" fieldPosition="0">
        <references count="1">
          <reference field="1" count="0"/>
        </references>
      </pivotArea>
    </format>
    <format dxfId="9">
      <pivotArea outline="0" fieldPosition="0">
        <references count="1">
          <reference field="4294967294" count="1">
            <x v="1"/>
          </reference>
        </references>
      </pivotArea>
    </format>
  </format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pivotArea type="data" outline="0" fieldPosition="0">
        <references count="2">
          <reference field="4294967294" count="1" selected="0">
            <x v="0"/>
          </reference>
          <reference field="1" count="1" selected="0">
            <x v="0"/>
          </reference>
        </references>
      </pivotArea>
    </chartFormat>
    <chartFormat chart="21" format="3">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9D2FD4-B99A-4B45-B6EE-5221498EDC8E}" name="PivotTable7" cacheId="9"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chartFormat="25">
  <location ref="A22:B3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1" baseItem="4"/>
  </dataFields>
  <formats count="2">
    <format dxfId="13">
      <pivotArea outline="0" collapsedLevelsAreSubtotals="1" fieldPosition="0"/>
    </format>
    <format dxfId="12">
      <pivotArea collapsedLevelsAreSubtotals="1" fieldPosition="0">
        <references count="1">
          <reference field="1" count="0"/>
        </references>
      </pivotArea>
    </format>
  </formats>
  <chartFormats count="1">
    <chartFormat chart="2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E03F97-4BF9-4079-9C41-2D4F797C97DB}" name="PivotTable9" cacheId="0" applyNumberFormats="0" applyBorderFormats="0" applyFontFormats="0" applyPatternFormats="0" applyAlignmentFormats="0" applyWidthHeightFormats="1" dataCaption="Values" tag="d963df02-4d4c-424f-9477-51f1bf754efa" updatedVersion="8" minRefreshableVersion="3" subtotalHiddenItems="1" itemPrintTitles="1" createdVersion="5" indent="0" outline="1" outlineData="1" multipleFieldFilters="0" chartFormat="29">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FDB1BD-058A-4F24-838A-645811852C72}" name="PivotTable5" cacheId="7"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chartFormat="15">
  <location ref="I40:J49"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2">
    <format dxfId="15">
      <pivotArea outline="0" collapsedLevelsAreSubtotals="1" fieldPosition="0"/>
    </format>
    <format dxfId="14">
      <pivotArea collapsedLevelsAreSubtotals="1" fieldPosition="0">
        <references count="1">
          <reference field="1" count="0"/>
        </references>
      </pivotArea>
    </format>
  </formats>
  <chartFormats count="1">
    <chartFormat chart="1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F5D7B3-0695-4A7A-A4F9-0FA9EA7D595C}" name="PivotTable8" cacheId="10" applyNumberFormats="0" applyBorderFormats="0" applyFontFormats="0" applyPatternFormats="0" applyAlignmentFormats="0" applyWidthHeightFormats="1" dataCaption="Values" tag="39130b75-e5d3-478f-884e-288927672f9d" updatedVersion="8" minRefreshableVersion="3" subtotalHiddenItems="1" itemPrintTitles="1" createdVersion="5" indent="0" outline="1" outlineData="1" multipleFieldFilters="0" chartFormat="29">
  <location ref="A40:B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Patient Race" fld="2" subtotal="count" baseField="1" baseItem="0"/>
  </dataFields>
  <formats count="2">
    <format dxfId="17">
      <pivotArea outline="0" collapsedLevelsAreSubtotals="1" fieldPosition="0"/>
    </format>
    <format dxfId="16">
      <pivotArea collapsedLevelsAreSubtotals="1" fieldPosition="0">
        <references count="1">
          <reference field="1" count="0"/>
        </references>
      </pivotArea>
    </format>
  </formats>
  <chartFormats count="1">
    <chartFormat chart="28" format="3"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1894AFB-E536-4A21-99FE-E0C0D9F3B005}" sourceName="[Calendar_Table].[Date (Month)]">
  <pivotTables>
    <pivotTable tabId="1" name="PivotTable9"/>
    <pivotTable tabId="1" name="PivotTable1"/>
    <pivotTable tabId="1" name="PivotTable2"/>
    <pivotTable tabId="1" name="PivotTable3"/>
    <pivotTable tabId="1" name="PivotTable10"/>
    <pivotTable tabId="1" name="PivotTable13"/>
    <pivotTable tabId="1" name="PivotTable4"/>
    <pivotTable tabId="1" name="PivotTable5"/>
    <pivotTable tabId="1" name="PivotTable6"/>
    <pivotTable tabId="1" name="PivotTable7"/>
    <pivotTable tabId="1" name="PivotTable8"/>
    <pivotTable tabId="1" name="PivotTable11"/>
    <pivotTable tabId="1" name="PivotTable12"/>
  </pivotTables>
  <data>
    <olap pivotCacheId="34176495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603634C-932B-4D5F-BFAC-0E486A1EB7C9}" sourceName="[Calendar_Table].[Date (Year)]">
  <pivotTables>
    <pivotTable tabId="1" name="PivotTable12"/>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4176495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B727AB6-CD8B-4F6F-8412-D03D1069864B}" cache="Slicer_Date__Month" caption="Date (Month)" showCaption="0" level="1" rowHeight="216000"/>
  <slicer name="Date (Year)" xr10:uid="{2336C3B3-9425-491A-8323-82E510203DDC}" cache="Slicer_Date__Year" caption="Date (Year)" showCaption="0" level="1" style="SlicerStyleDark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9BFE-5D7A-4549-AD6A-ADBF37133F97}">
  <dimension ref="A3:M65"/>
  <sheetViews>
    <sheetView topLeftCell="A73" zoomScale="92" workbookViewId="0">
      <selection activeCell="E59" sqref="E59"/>
    </sheetView>
  </sheetViews>
  <sheetFormatPr defaultRowHeight="14.4" x14ac:dyDescent="0.3"/>
  <cols>
    <col min="1" max="1" width="16.109375" customWidth="1"/>
    <col min="2" max="2" width="15.77734375" customWidth="1"/>
    <col min="3" max="3" width="19.6640625" customWidth="1"/>
    <col min="4" max="4" width="32.33203125" bestFit="1" customWidth="1"/>
    <col min="5" max="5" width="23.33203125" bestFit="1" customWidth="1"/>
    <col min="6" max="6" width="21.5546875" bestFit="1" customWidth="1"/>
    <col min="9" max="9" width="12.77734375" bestFit="1" customWidth="1"/>
    <col min="10" max="10" width="24.5546875" bestFit="1" customWidth="1"/>
    <col min="13" max="13" width="32.33203125" bestFit="1" customWidth="1"/>
    <col min="14" max="14" width="29.21875" bestFit="1" customWidth="1"/>
  </cols>
  <sheetData>
    <row r="3" spans="1:13" x14ac:dyDescent="0.3">
      <c r="A3" t="s">
        <v>1</v>
      </c>
      <c r="D3" t="s">
        <v>6</v>
      </c>
      <c r="I3" t="s">
        <v>7</v>
      </c>
      <c r="L3" t="s">
        <v>8</v>
      </c>
    </row>
    <row r="4" spans="1:13" x14ac:dyDescent="0.3">
      <c r="A4" t="s">
        <v>0</v>
      </c>
      <c r="D4" s="1" t="s">
        <v>5</v>
      </c>
      <c r="E4" t="s">
        <v>0</v>
      </c>
      <c r="I4" s="1" t="s">
        <v>5</v>
      </c>
      <c r="J4" t="s">
        <v>2</v>
      </c>
      <c r="L4" s="1" t="s">
        <v>5</v>
      </c>
      <c r="M4" t="s">
        <v>3</v>
      </c>
    </row>
    <row r="5" spans="1:13" x14ac:dyDescent="0.3">
      <c r="A5">
        <v>506</v>
      </c>
      <c r="D5" s="5" t="s">
        <v>53</v>
      </c>
      <c r="E5">
        <v>19</v>
      </c>
      <c r="I5" s="5" t="s">
        <v>61</v>
      </c>
      <c r="J5" s="2">
        <v>33</v>
      </c>
      <c r="L5" s="5" t="s">
        <v>61</v>
      </c>
      <c r="M5" s="2">
        <v>3.5</v>
      </c>
    </row>
    <row r="6" spans="1:13" x14ac:dyDescent="0.3">
      <c r="D6" s="5" t="s">
        <v>54</v>
      </c>
      <c r="E6">
        <v>24</v>
      </c>
      <c r="I6" s="5" t="s">
        <v>60</v>
      </c>
      <c r="J6" s="2">
        <v>34.071428571428569</v>
      </c>
      <c r="L6" s="5" t="s">
        <v>60</v>
      </c>
      <c r="M6" s="2">
        <v>7.666666666666667</v>
      </c>
    </row>
    <row r="7" spans="1:13" x14ac:dyDescent="0.3">
      <c r="D7" s="5" t="s">
        <v>55</v>
      </c>
      <c r="E7">
        <v>24</v>
      </c>
      <c r="I7" s="5" t="s">
        <v>59</v>
      </c>
      <c r="J7" s="2">
        <v>36.846153846153847</v>
      </c>
      <c r="L7" s="5" t="s">
        <v>59</v>
      </c>
      <c r="M7" s="2">
        <v>5.0909090909090908</v>
      </c>
    </row>
    <row r="8" spans="1:13" x14ac:dyDescent="0.3">
      <c r="A8" t="s">
        <v>2</v>
      </c>
      <c r="D8" s="5" t="s">
        <v>56</v>
      </c>
      <c r="E8">
        <v>14</v>
      </c>
      <c r="I8" s="5" t="s">
        <v>58</v>
      </c>
      <c r="J8" s="2">
        <v>31.8125</v>
      </c>
      <c r="L8" s="5" t="s">
        <v>58</v>
      </c>
      <c r="M8" s="2">
        <v>5.5</v>
      </c>
    </row>
    <row r="9" spans="1:13" x14ac:dyDescent="0.3">
      <c r="A9" s="2">
        <v>35.879446640316203</v>
      </c>
      <c r="D9" s="5" t="s">
        <v>57</v>
      </c>
      <c r="E9">
        <v>14</v>
      </c>
      <c r="I9" s="5" t="s">
        <v>57</v>
      </c>
      <c r="J9" s="2">
        <v>31.571428571428573</v>
      </c>
      <c r="L9" s="5" t="s">
        <v>57</v>
      </c>
      <c r="M9" s="2">
        <v>5</v>
      </c>
    </row>
    <row r="10" spans="1:13" x14ac:dyDescent="0.3">
      <c r="D10" s="5" t="s">
        <v>58</v>
      </c>
      <c r="E10">
        <v>16</v>
      </c>
      <c r="I10" s="5" t="s">
        <v>56</v>
      </c>
      <c r="J10" s="2">
        <v>35.071428571428569</v>
      </c>
      <c r="L10" s="5" t="s">
        <v>56</v>
      </c>
      <c r="M10" s="2">
        <v>2.75</v>
      </c>
    </row>
    <row r="11" spans="1:13" x14ac:dyDescent="0.3">
      <c r="D11" s="5" t="s">
        <v>59</v>
      </c>
      <c r="E11">
        <v>26</v>
      </c>
      <c r="I11" s="5" t="s">
        <v>55</v>
      </c>
      <c r="J11" s="2">
        <v>36.291666666666664</v>
      </c>
      <c r="L11" s="5" t="s">
        <v>55</v>
      </c>
      <c r="M11" s="2">
        <v>1.5</v>
      </c>
    </row>
    <row r="12" spans="1:13" x14ac:dyDescent="0.3">
      <c r="D12" s="5" t="s">
        <v>60</v>
      </c>
      <c r="E12">
        <v>14</v>
      </c>
      <c r="I12" s="5" t="s">
        <v>83</v>
      </c>
      <c r="J12" s="2">
        <v>39.055555555555557</v>
      </c>
      <c r="L12" s="5" t="s">
        <v>83</v>
      </c>
      <c r="M12" s="2">
        <v>8.75</v>
      </c>
    </row>
    <row r="13" spans="1:13" x14ac:dyDescent="0.3">
      <c r="A13" t="s">
        <v>3</v>
      </c>
      <c r="D13" s="5" t="s">
        <v>61</v>
      </c>
      <c r="E13">
        <v>22</v>
      </c>
      <c r="I13" s="5" t="s">
        <v>82</v>
      </c>
      <c r="J13" s="2">
        <v>30.571428571428573</v>
      </c>
      <c r="L13" s="5" t="s">
        <v>82</v>
      </c>
      <c r="M13" s="2">
        <v>4</v>
      </c>
    </row>
    <row r="14" spans="1:13" x14ac:dyDescent="0.3">
      <c r="A14" s="2">
        <v>5.3277310924369745</v>
      </c>
      <c r="D14" s="5" t="s">
        <v>62</v>
      </c>
      <c r="E14">
        <v>18</v>
      </c>
      <c r="I14" s="5" t="s">
        <v>54</v>
      </c>
      <c r="J14" s="2">
        <v>33.708333333333336</v>
      </c>
      <c r="L14" s="5" t="s">
        <v>54</v>
      </c>
      <c r="M14" s="2">
        <v>6</v>
      </c>
    </row>
    <row r="15" spans="1:13" x14ac:dyDescent="0.3">
      <c r="D15" s="5" t="s">
        <v>63</v>
      </c>
      <c r="E15">
        <v>20</v>
      </c>
      <c r="I15" s="5" t="s">
        <v>81</v>
      </c>
      <c r="J15" s="2">
        <v>32.666666666666664</v>
      </c>
      <c r="L15" s="5" t="s">
        <v>81</v>
      </c>
      <c r="M15" s="2">
        <v>2.6666666666666665</v>
      </c>
    </row>
    <row r="16" spans="1:13" x14ac:dyDescent="0.3">
      <c r="D16" s="5" t="s">
        <v>64</v>
      </c>
      <c r="E16">
        <v>13</v>
      </c>
      <c r="I16" s="5" t="s">
        <v>80</v>
      </c>
      <c r="J16" s="2">
        <v>30.294117647058822</v>
      </c>
      <c r="L16" s="5" t="s">
        <v>80</v>
      </c>
      <c r="M16" s="2">
        <v>9.25</v>
      </c>
    </row>
    <row r="17" spans="1:13" x14ac:dyDescent="0.3">
      <c r="D17" s="5" t="s">
        <v>65</v>
      </c>
      <c r="E17">
        <v>13</v>
      </c>
      <c r="I17" s="5" t="s">
        <v>79</v>
      </c>
      <c r="J17" s="2">
        <v>39.411764705882355</v>
      </c>
      <c r="L17" s="5" t="s">
        <v>79</v>
      </c>
      <c r="M17" s="2">
        <v>2</v>
      </c>
    </row>
    <row r="18" spans="1:13" x14ac:dyDescent="0.3">
      <c r="D18" s="5" t="s">
        <v>66</v>
      </c>
      <c r="E18">
        <v>14</v>
      </c>
      <c r="I18" s="5" t="s">
        <v>78</v>
      </c>
      <c r="J18" s="2">
        <v>37</v>
      </c>
      <c r="L18" s="5" t="s">
        <v>78</v>
      </c>
      <c r="M18" s="2">
        <v>4.75</v>
      </c>
    </row>
    <row r="19" spans="1:13" x14ac:dyDescent="0.3">
      <c r="D19" s="5" t="s">
        <v>67</v>
      </c>
      <c r="E19">
        <v>13</v>
      </c>
      <c r="I19" s="5" t="s">
        <v>77</v>
      </c>
      <c r="J19" s="2">
        <v>39.833333333333336</v>
      </c>
      <c r="L19" s="5" t="s">
        <v>77</v>
      </c>
      <c r="M19" s="2">
        <v>3.3333333333333335</v>
      </c>
    </row>
    <row r="20" spans="1:13" x14ac:dyDescent="0.3">
      <c r="D20" s="5" t="s">
        <v>68</v>
      </c>
      <c r="E20">
        <v>18</v>
      </c>
      <c r="I20" s="5" t="s">
        <v>76</v>
      </c>
      <c r="J20" s="2">
        <v>35.863636363636367</v>
      </c>
      <c r="L20" s="5" t="s">
        <v>76</v>
      </c>
      <c r="M20" s="2">
        <v>5.666666666666667</v>
      </c>
    </row>
    <row r="21" spans="1:13" x14ac:dyDescent="0.3">
      <c r="A21" t="s">
        <v>35</v>
      </c>
      <c r="D21" s="5" t="s">
        <v>69</v>
      </c>
      <c r="E21">
        <v>12</v>
      </c>
      <c r="I21" s="5" t="s">
        <v>75</v>
      </c>
      <c r="J21" s="2">
        <v>25.2</v>
      </c>
      <c r="L21" s="5" t="s">
        <v>75</v>
      </c>
      <c r="M21" s="2">
        <v>7</v>
      </c>
    </row>
    <row r="22" spans="1:13" x14ac:dyDescent="0.3">
      <c r="A22" s="1" t="s">
        <v>5</v>
      </c>
      <c r="B22" t="s">
        <v>34</v>
      </c>
      <c r="D22" s="5" t="s">
        <v>70</v>
      </c>
      <c r="E22">
        <v>11</v>
      </c>
      <c r="I22" s="5" t="s">
        <v>74</v>
      </c>
      <c r="J22" s="2">
        <v>34.0625</v>
      </c>
      <c r="L22" s="5" t="s">
        <v>74</v>
      </c>
      <c r="M22" s="2">
        <v>6.333333333333333</v>
      </c>
    </row>
    <row r="23" spans="1:13" x14ac:dyDescent="0.3">
      <c r="A23" s="5" t="s">
        <v>33</v>
      </c>
      <c r="B23" s="9">
        <v>3</v>
      </c>
      <c r="D23" s="5" t="s">
        <v>71</v>
      </c>
      <c r="E23">
        <v>14</v>
      </c>
      <c r="I23" s="5" t="s">
        <v>73</v>
      </c>
      <c r="J23" s="2">
        <v>28.5</v>
      </c>
      <c r="L23" s="5" t="s">
        <v>73</v>
      </c>
      <c r="M23" s="2">
        <v>6.25</v>
      </c>
    </row>
    <row r="24" spans="1:13" x14ac:dyDescent="0.3">
      <c r="A24" s="5" t="s">
        <v>29</v>
      </c>
      <c r="B24" s="9">
        <v>5</v>
      </c>
      <c r="D24" s="5" t="s">
        <v>72</v>
      </c>
      <c r="E24">
        <v>12</v>
      </c>
      <c r="I24" s="5" t="s">
        <v>72</v>
      </c>
      <c r="J24" s="2">
        <v>31.25</v>
      </c>
      <c r="L24" s="5" t="s">
        <v>72</v>
      </c>
      <c r="M24" s="2">
        <v>6.6</v>
      </c>
    </row>
    <row r="25" spans="1:13" x14ac:dyDescent="0.3">
      <c r="A25" s="5" t="s">
        <v>27</v>
      </c>
      <c r="B25" s="9">
        <v>6</v>
      </c>
      <c r="D25" s="5" t="s">
        <v>73</v>
      </c>
      <c r="E25">
        <v>16</v>
      </c>
      <c r="I25" s="5" t="s">
        <v>53</v>
      </c>
      <c r="J25" s="2">
        <v>34.526315789473685</v>
      </c>
      <c r="L25" s="5" t="s">
        <v>53</v>
      </c>
      <c r="M25" s="2">
        <v>7.2</v>
      </c>
    </row>
    <row r="26" spans="1:13" x14ac:dyDescent="0.3">
      <c r="A26" s="5" t="s">
        <v>32</v>
      </c>
      <c r="B26" s="9">
        <v>14</v>
      </c>
      <c r="D26" s="5" t="s">
        <v>74</v>
      </c>
      <c r="E26">
        <v>16</v>
      </c>
      <c r="I26" s="5" t="s">
        <v>71</v>
      </c>
      <c r="J26" s="2">
        <v>39</v>
      </c>
      <c r="L26" s="5" t="s">
        <v>71</v>
      </c>
      <c r="M26" s="2">
        <v>5.25</v>
      </c>
    </row>
    <row r="27" spans="1:13" x14ac:dyDescent="0.3">
      <c r="A27" s="5" t="s">
        <v>26</v>
      </c>
      <c r="B27" s="9">
        <v>15</v>
      </c>
      <c r="D27" s="5" t="s">
        <v>75</v>
      </c>
      <c r="E27">
        <v>15</v>
      </c>
      <c r="I27" s="5" t="s">
        <v>70</v>
      </c>
      <c r="J27" s="2">
        <v>44.090909090909093</v>
      </c>
      <c r="L27" s="5" t="s">
        <v>70</v>
      </c>
      <c r="M27" s="2">
        <v>9</v>
      </c>
    </row>
    <row r="28" spans="1:13" x14ac:dyDescent="0.3">
      <c r="A28" s="5" t="s">
        <v>31</v>
      </c>
      <c r="B28" s="9">
        <v>59</v>
      </c>
      <c r="D28" s="5" t="s">
        <v>76</v>
      </c>
      <c r="E28">
        <v>22</v>
      </c>
      <c r="I28" s="5" t="s">
        <v>69</v>
      </c>
      <c r="J28" s="2">
        <v>42.25</v>
      </c>
      <c r="L28" s="5" t="s">
        <v>69</v>
      </c>
      <c r="M28" s="2">
        <v>7.333333333333333</v>
      </c>
    </row>
    <row r="29" spans="1:13" x14ac:dyDescent="0.3">
      <c r="A29" s="5" t="s">
        <v>28</v>
      </c>
      <c r="B29" s="9">
        <v>93</v>
      </c>
      <c r="D29" s="5" t="s">
        <v>77</v>
      </c>
      <c r="E29">
        <v>18</v>
      </c>
      <c r="I29" s="5" t="s">
        <v>68</v>
      </c>
      <c r="J29" s="2">
        <v>43.166666666666664</v>
      </c>
      <c r="L29" s="5" t="s">
        <v>68</v>
      </c>
      <c r="M29" s="2">
        <v>4</v>
      </c>
    </row>
    <row r="30" spans="1:13" x14ac:dyDescent="0.3">
      <c r="A30" s="5" t="s">
        <v>30</v>
      </c>
      <c r="B30" s="9">
        <v>311</v>
      </c>
      <c r="D30" s="5" t="s">
        <v>78</v>
      </c>
      <c r="E30">
        <v>10</v>
      </c>
      <c r="I30" s="5" t="s">
        <v>67</v>
      </c>
      <c r="J30" s="2">
        <v>33.92307692307692</v>
      </c>
      <c r="L30" s="5" t="s">
        <v>67</v>
      </c>
      <c r="M30" s="2">
        <v>4.25</v>
      </c>
    </row>
    <row r="31" spans="1:13" x14ac:dyDescent="0.3">
      <c r="A31" s="5" t="s">
        <v>4</v>
      </c>
      <c r="B31" s="2">
        <v>506</v>
      </c>
      <c r="D31" s="5" t="s">
        <v>79</v>
      </c>
      <c r="E31">
        <v>17</v>
      </c>
      <c r="I31" s="5" t="s">
        <v>66</v>
      </c>
      <c r="J31" s="2">
        <v>34.071428571428569</v>
      </c>
      <c r="L31" s="5" t="s">
        <v>66</v>
      </c>
      <c r="M31" s="2">
        <v>5</v>
      </c>
    </row>
    <row r="32" spans="1:13" x14ac:dyDescent="0.3">
      <c r="D32" s="5" t="s">
        <v>80</v>
      </c>
      <c r="E32">
        <v>17</v>
      </c>
      <c r="I32" s="5" t="s">
        <v>65</v>
      </c>
      <c r="J32" s="2">
        <v>40.46153846153846</v>
      </c>
      <c r="L32" s="5" t="s">
        <v>65</v>
      </c>
      <c r="M32" s="2">
        <v>7</v>
      </c>
    </row>
    <row r="33" spans="1:13" x14ac:dyDescent="0.3">
      <c r="D33" s="5" t="s">
        <v>81</v>
      </c>
      <c r="E33">
        <v>12</v>
      </c>
      <c r="I33" s="5" t="s">
        <v>64</v>
      </c>
      <c r="J33" s="2">
        <v>42.615384615384613</v>
      </c>
      <c r="L33" s="5" t="s">
        <v>64</v>
      </c>
      <c r="M33" s="2">
        <v>1</v>
      </c>
    </row>
    <row r="34" spans="1:13" x14ac:dyDescent="0.3">
      <c r="D34" s="5" t="s">
        <v>82</v>
      </c>
      <c r="E34">
        <v>14</v>
      </c>
      <c r="I34" s="5" t="s">
        <v>63</v>
      </c>
      <c r="J34" s="2">
        <v>42.05</v>
      </c>
      <c r="L34" s="5" t="s">
        <v>63</v>
      </c>
      <c r="M34" s="2">
        <v>3.8</v>
      </c>
    </row>
    <row r="35" spans="1:13" x14ac:dyDescent="0.3">
      <c r="D35" s="5" t="s">
        <v>83</v>
      </c>
      <c r="E35">
        <v>18</v>
      </c>
      <c r="I35" s="5" t="s">
        <v>62</v>
      </c>
      <c r="J35" s="2">
        <v>40.222222222222221</v>
      </c>
      <c r="L35" s="5" t="s">
        <v>62</v>
      </c>
      <c r="M35" s="2">
        <v>3.6666666666666665</v>
      </c>
    </row>
    <row r="36" spans="1:13" x14ac:dyDescent="0.3">
      <c r="D36" s="5" t="s">
        <v>4</v>
      </c>
      <c r="E36">
        <v>506</v>
      </c>
      <c r="I36" s="5" t="s">
        <v>4</v>
      </c>
      <c r="J36" s="2">
        <v>35.879446640316203</v>
      </c>
      <c r="L36" s="5" t="s">
        <v>4</v>
      </c>
      <c r="M36" s="2">
        <v>5.3277310924369745</v>
      </c>
    </row>
    <row r="39" spans="1:13" x14ac:dyDescent="0.3">
      <c r="A39" t="s">
        <v>43</v>
      </c>
      <c r="D39" t="s">
        <v>11</v>
      </c>
      <c r="I39" t="s">
        <v>25</v>
      </c>
    </row>
    <row r="40" spans="1:13" x14ac:dyDescent="0.3">
      <c r="A40" s="1" t="s">
        <v>5</v>
      </c>
      <c r="B40" t="s">
        <v>43</v>
      </c>
      <c r="D40" s="1" t="s">
        <v>5</v>
      </c>
      <c r="E40" t="s">
        <v>11</v>
      </c>
      <c r="I40" s="1" t="s">
        <v>5</v>
      </c>
      <c r="J40" t="s">
        <v>20</v>
      </c>
    </row>
    <row r="41" spans="1:13" x14ac:dyDescent="0.3">
      <c r="A41" s="5" t="s">
        <v>36</v>
      </c>
      <c r="B41" s="9">
        <v>112</v>
      </c>
      <c r="D41" s="5" t="s">
        <v>9</v>
      </c>
      <c r="E41" s="9">
        <v>231</v>
      </c>
      <c r="I41" s="5" t="s">
        <v>12</v>
      </c>
      <c r="J41" s="9">
        <v>64</v>
      </c>
    </row>
    <row r="42" spans="1:13" x14ac:dyDescent="0.3">
      <c r="A42" s="5" t="s">
        <v>37</v>
      </c>
      <c r="B42" s="9">
        <v>61</v>
      </c>
      <c r="D42" s="5" t="s">
        <v>10</v>
      </c>
      <c r="E42" s="9">
        <v>275</v>
      </c>
      <c r="I42" s="5" t="s">
        <v>13</v>
      </c>
      <c r="J42" s="9">
        <v>66</v>
      </c>
    </row>
    <row r="43" spans="1:13" x14ac:dyDescent="0.3">
      <c r="A43" s="5" t="s">
        <v>39</v>
      </c>
      <c r="B43" s="9">
        <v>51</v>
      </c>
      <c r="D43" s="5" t="s">
        <v>4</v>
      </c>
      <c r="E43" s="2">
        <v>506</v>
      </c>
      <c r="I43" s="5" t="s">
        <v>14</v>
      </c>
      <c r="J43" s="9">
        <v>65</v>
      </c>
    </row>
    <row r="44" spans="1:13" x14ac:dyDescent="0.3">
      <c r="A44" s="5" t="s">
        <v>38</v>
      </c>
      <c r="B44" s="9">
        <v>35</v>
      </c>
      <c r="I44" s="5" t="s">
        <v>15</v>
      </c>
      <c r="J44" s="9">
        <v>73</v>
      </c>
    </row>
    <row r="45" spans="1:13" x14ac:dyDescent="0.3">
      <c r="A45" s="5" t="s">
        <v>41</v>
      </c>
      <c r="B45" s="9">
        <v>26</v>
      </c>
      <c r="I45" s="5" t="s">
        <v>16</v>
      </c>
      <c r="J45" s="9">
        <v>45</v>
      </c>
    </row>
    <row r="46" spans="1:13" x14ac:dyDescent="0.3">
      <c r="A46" s="5" t="s">
        <v>42</v>
      </c>
      <c r="B46" s="9">
        <v>97</v>
      </c>
      <c r="I46" s="5" t="s">
        <v>17</v>
      </c>
      <c r="J46" s="9">
        <v>72</v>
      </c>
    </row>
    <row r="47" spans="1:13" x14ac:dyDescent="0.3">
      <c r="A47" s="5" t="s">
        <v>40</v>
      </c>
      <c r="B47" s="9">
        <v>124</v>
      </c>
      <c r="I47" s="5" t="s">
        <v>18</v>
      </c>
      <c r="J47" s="9">
        <v>74</v>
      </c>
    </row>
    <row r="48" spans="1:13" x14ac:dyDescent="0.3">
      <c r="A48" s="5" t="s">
        <v>4</v>
      </c>
      <c r="B48" s="2">
        <v>506</v>
      </c>
      <c r="I48" s="5" t="s">
        <v>19</v>
      </c>
      <c r="J48" s="9">
        <v>47</v>
      </c>
    </row>
    <row r="49" spans="1:10" x14ac:dyDescent="0.3">
      <c r="D49" t="s">
        <v>24</v>
      </c>
      <c r="I49" s="5" t="s">
        <v>4</v>
      </c>
      <c r="J49" s="2">
        <v>506</v>
      </c>
    </row>
    <row r="50" spans="1:10" x14ac:dyDescent="0.3">
      <c r="D50" s="1" t="s">
        <v>5</v>
      </c>
      <c r="E50" t="s">
        <v>23</v>
      </c>
    </row>
    <row r="51" spans="1:10" x14ac:dyDescent="0.3">
      <c r="D51" s="5" t="s">
        <v>21</v>
      </c>
      <c r="E51" s="9">
        <v>312</v>
      </c>
    </row>
    <row r="52" spans="1:10" x14ac:dyDescent="0.3">
      <c r="D52" s="5" t="s">
        <v>22</v>
      </c>
      <c r="E52" s="9">
        <v>194</v>
      </c>
    </row>
    <row r="53" spans="1:10" x14ac:dyDescent="0.3">
      <c r="D53" s="5" t="s">
        <v>4</v>
      </c>
      <c r="E53" s="2">
        <v>506</v>
      </c>
    </row>
    <row r="57" spans="1:10" x14ac:dyDescent="0.3">
      <c r="A57" t="s">
        <v>47</v>
      </c>
    </row>
    <row r="58" spans="1:10" x14ac:dyDescent="0.3">
      <c r="A58" s="1" t="s">
        <v>5</v>
      </c>
      <c r="B58" t="s">
        <v>46</v>
      </c>
      <c r="C58" t="s">
        <v>51</v>
      </c>
      <c r="E58" s="1" t="s">
        <v>5</v>
      </c>
    </row>
    <row r="59" spans="1:10" x14ac:dyDescent="0.3">
      <c r="A59" s="5" t="s">
        <v>44</v>
      </c>
      <c r="B59" s="9">
        <v>253</v>
      </c>
      <c r="C59" s="10">
        <v>0.5</v>
      </c>
      <c r="E59" s="5" t="s">
        <v>52</v>
      </c>
    </row>
    <row r="60" spans="1:10" x14ac:dyDescent="0.3">
      <c r="A60" s="5" t="s">
        <v>45</v>
      </c>
      <c r="B60" s="9">
        <v>253</v>
      </c>
      <c r="C60" s="10">
        <v>0.5</v>
      </c>
      <c r="E60" s="5" t="s">
        <v>4</v>
      </c>
    </row>
    <row r="61" spans="1:10" x14ac:dyDescent="0.3">
      <c r="A61" s="5" t="s">
        <v>4</v>
      </c>
      <c r="B61" s="2">
        <v>506</v>
      </c>
      <c r="C61" s="10">
        <v>1</v>
      </c>
    </row>
    <row r="63" spans="1:10" x14ac:dyDescent="0.3">
      <c r="A63" s="11" t="s">
        <v>48</v>
      </c>
      <c r="B63" s="11" t="s">
        <v>49</v>
      </c>
      <c r="C63" s="11" t="s">
        <v>50</v>
      </c>
    </row>
    <row r="64" spans="1:10" x14ac:dyDescent="0.3">
      <c r="A64" s="12" t="str">
        <f>A60</f>
        <v>Not Admitted</v>
      </c>
      <c r="B64" s="12">
        <f>B60</f>
        <v>253</v>
      </c>
      <c r="C64" s="12"/>
    </row>
    <row r="65" spans="1:3" x14ac:dyDescent="0.3">
      <c r="A65" s="12" t="str">
        <f>A59</f>
        <v>Admitted</v>
      </c>
      <c r="B65" s="12">
        <f>B59</f>
        <v>253</v>
      </c>
      <c r="C65" s="12"/>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7939-0CFE-473E-897B-F0196A938EB5}">
  <dimension ref="A1:M17"/>
  <sheetViews>
    <sheetView zoomScale="151" zoomScaleNormal="170" zoomScaleSheetLayoutView="129" workbookViewId="0"/>
  </sheetViews>
  <sheetFormatPr defaultRowHeight="14.4" x14ac:dyDescent="0.3"/>
  <cols>
    <col min="4" max="4" width="8.88671875" customWidth="1"/>
    <col min="9" max="10" width="8.886718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8"/>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4"/>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7" spans="1:13" x14ac:dyDescent="0.3">
      <c r="A17" s="3"/>
      <c r="B17" s="3"/>
      <c r="C17" s="3"/>
      <c r="D17" s="3"/>
      <c r="E17" s="3"/>
      <c r="F17" s="3"/>
      <c r="G17" s="3"/>
      <c r="H17" s="3"/>
      <c r="I17" s="3"/>
      <c r="J17" s="3"/>
      <c r="K17" s="3"/>
      <c r="L17" s="3"/>
      <c r="M17" s="3"/>
    </row>
  </sheetData>
  <pageMargins left="0.7" right="0.7" top="0.75" bottom="0.75" header="0.3" footer="0.3"/>
  <pageSetup scale="78"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11321-7046-4206-9D70-3E1D30B89C81}">
  <dimension ref="A1"/>
  <sheetViews>
    <sheetView zoomScale="98" zoomScaleNormal="10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7333-00EE-4227-82D5-E56843477278}">
  <dimension ref="A1"/>
  <sheetViews>
    <sheetView zoomScale="96"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879E-5854-486F-A7E4-41A31A597331}">
  <dimension ref="A1:T15"/>
  <sheetViews>
    <sheetView tabSelected="1" zoomScale="93" zoomScaleNormal="100" workbookViewId="0"/>
  </sheetViews>
  <sheetFormatPr defaultRowHeight="14.4" x14ac:dyDescent="0.3"/>
  <sheetData>
    <row r="1" spans="1:20" x14ac:dyDescent="0.3">
      <c r="A1" s="7"/>
    </row>
    <row r="15" spans="1:20" ht="25.8" x14ac:dyDescent="0.5">
      <c r="T15"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FCBA7AAA6FAB944DB3585258D3C8CB16" ma:contentTypeVersion="5" ma:contentTypeDescription="Create a new document." ma:contentTypeScope="" ma:versionID="f4bd722c8c949718177993ad7fe88fed">
  <xsd:schema xmlns:xsd="http://www.w3.org/2001/XMLSchema" xmlns:xs="http://www.w3.org/2001/XMLSchema" xmlns:p="http://schemas.microsoft.com/office/2006/metadata/properties" xmlns:ns3="7e687997-c1ea-4f38-9057-ab70f4274d43" targetNamespace="http://schemas.microsoft.com/office/2006/metadata/properties" ma:root="true" ma:fieldsID="2115e25a328b2ca39e53b3f1eb5f6d0c" ns3:_="">
    <xsd:import namespace="7e687997-c1ea-4f38-9057-ab70f4274d43"/>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687997-c1ea-4f38-9057-ab70f4274d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_activity xmlns="7e687997-c1ea-4f38-9057-ab70f4274d43" xsi:nil="true"/>
  </documentManagement>
</p:properti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B895A3D-0184-4D26-B40E-AFADE6CECEDF}">
  <ds:schemaRefs/>
</ds:datastoreItem>
</file>

<file path=customXml/itemProps2.xml><?xml version="1.0" encoding="utf-8"?>
<ds:datastoreItem xmlns:ds="http://schemas.openxmlformats.org/officeDocument/2006/customXml" ds:itemID="{8CD480A6-2BBF-46B2-A89A-509B49F9D91F}">
  <ds:schemaRefs>
    <ds:schemaRef ds:uri="http://schemas.microsoft.com/sharepoint/v3/contenttype/forms"/>
  </ds:schemaRefs>
</ds:datastoreItem>
</file>

<file path=customXml/itemProps3.xml><?xml version="1.0" encoding="utf-8"?>
<ds:datastoreItem xmlns:ds="http://schemas.openxmlformats.org/officeDocument/2006/customXml" ds:itemID="{E5777D4F-C256-441A-B121-5265C520ACF3}">
  <ds:schemaRefs/>
</ds:datastoreItem>
</file>

<file path=customXml/itemProps4.xml><?xml version="1.0" encoding="utf-8"?>
<ds:datastoreItem xmlns:ds="http://schemas.openxmlformats.org/officeDocument/2006/customXml" ds:itemID="{BF5973A0-4910-4064-BC0B-2939D85AF275}">
  <ds:schemaRefs/>
</ds:datastoreItem>
</file>

<file path=customXml/itemProps5.xml><?xml version="1.0" encoding="utf-8"?>
<ds:datastoreItem xmlns:ds="http://schemas.openxmlformats.org/officeDocument/2006/customXml" ds:itemID="{E7512365-D25D-44CC-BB88-1F13736C30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687997-c1ea-4f38-9057-ab70f4274d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411D58F3-E0ED-43FD-9300-C46449916D56}">
  <ds:schemaRefs/>
</ds:datastoreItem>
</file>

<file path=customXml/itemProps7.xml><?xml version="1.0" encoding="utf-8"?>
<ds:datastoreItem xmlns:ds="http://schemas.openxmlformats.org/officeDocument/2006/customXml" ds:itemID="{910082AC-A6D4-417C-A2A4-8206774AE66E}">
  <ds:schemaRefs/>
</ds:datastoreItem>
</file>

<file path=customXml/itemProps8.xml><?xml version="1.0" encoding="utf-8"?>
<ds:datastoreItem xmlns:ds="http://schemas.openxmlformats.org/officeDocument/2006/customXml" ds:itemID="{E9C009F3-0C7A-4799-AD36-316FD7D5F51C}">
  <ds:schemaRefs/>
</ds:datastoreItem>
</file>

<file path=customXml/itemProps9.xml><?xml version="1.0" encoding="utf-8"?>
<ds:datastoreItem xmlns:ds="http://schemas.openxmlformats.org/officeDocument/2006/customXml" ds:itemID="{A2DAF41E-E180-499D-B673-291E460082BD}">
  <ds:schemaRefs/>
</ds:datastoreItem>
</file>

<file path=customXml/itemProps10.xml><?xml version="1.0" encoding="utf-8"?>
<ds:datastoreItem xmlns:ds="http://schemas.openxmlformats.org/officeDocument/2006/customXml" ds:itemID="{78F968BE-5C35-47C2-9C4A-8212CAA6BDEB}">
  <ds:schemaRefs>
    <ds:schemaRef ds:uri="http://schemas.microsoft.com/office/2006/documentManagement/types"/>
    <ds:schemaRef ds:uri="http://purl.org/dc/elements/1.1/"/>
    <ds:schemaRef ds:uri="7e687997-c1ea-4f38-9057-ab70f4274d43"/>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11.xml><?xml version="1.0" encoding="utf-8"?>
<ds:datastoreItem xmlns:ds="http://schemas.openxmlformats.org/officeDocument/2006/customXml" ds:itemID="{F07C6DB2-7FBC-48C6-A44E-B3B8FDAD101F}">
  <ds:schemaRefs/>
</ds:datastoreItem>
</file>

<file path=customXml/itemProps12.xml><?xml version="1.0" encoding="utf-8"?>
<ds:datastoreItem xmlns:ds="http://schemas.openxmlformats.org/officeDocument/2006/customXml" ds:itemID="{D398C42C-D45E-4BF4-92E3-C8BCA13EF9BE}">
  <ds:schemaRefs/>
</ds:datastoreItem>
</file>

<file path=customXml/itemProps13.xml><?xml version="1.0" encoding="utf-8"?>
<ds:datastoreItem xmlns:ds="http://schemas.openxmlformats.org/officeDocument/2006/customXml" ds:itemID="{E980686F-97FA-4F8C-B816-DC19FBC54330}">
  <ds:schemaRefs/>
</ds:datastoreItem>
</file>

<file path=customXml/itemProps14.xml><?xml version="1.0" encoding="utf-8"?>
<ds:datastoreItem xmlns:ds="http://schemas.openxmlformats.org/officeDocument/2006/customXml" ds:itemID="{F4CBE023-DD4A-4E8B-9EAB-82C615F6A26B}">
  <ds:schemaRefs/>
</ds:datastoreItem>
</file>

<file path=customXml/itemProps15.xml><?xml version="1.0" encoding="utf-8"?>
<ds:datastoreItem xmlns:ds="http://schemas.openxmlformats.org/officeDocument/2006/customXml" ds:itemID="{4206BDE7-28D7-4F87-BB39-CE4579D84859}">
  <ds:schemaRefs/>
</ds:datastoreItem>
</file>

<file path=customXml/itemProps16.xml><?xml version="1.0" encoding="utf-8"?>
<ds:datastoreItem xmlns:ds="http://schemas.openxmlformats.org/officeDocument/2006/customXml" ds:itemID="{7082BEC3-EBBC-49F9-AC1B-D06D09AFFA63}">
  <ds:schemaRefs/>
</ds:datastoreItem>
</file>

<file path=customXml/itemProps17.xml><?xml version="1.0" encoding="utf-8"?>
<ds:datastoreItem xmlns:ds="http://schemas.openxmlformats.org/officeDocument/2006/customXml" ds:itemID="{E3E311B3-0319-490C-A19B-803EF5D0C3CE}">
  <ds:schemaRefs/>
</ds:datastoreItem>
</file>

<file path=customXml/itemProps18.xml><?xml version="1.0" encoding="utf-8"?>
<ds:datastoreItem xmlns:ds="http://schemas.openxmlformats.org/officeDocument/2006/customXml" ds:itemID="{DA58B307-88BA-4409-B055-E3F8B3ECABF1}">
  <ds:schemaRefs>
    <ds:schemaRef ds:uri="http://schemas.microsoft.com/DataMashup"/>
  </ds:schemaRefs>
</ds:datastoreItem>
</file>

<file path=customXml/itemProps19.xml><?xml version="1.0" encoding="utf-8"?>
<ds:datastoreItem xmlns:ds="http://schemas.openxmlformats.org/officeDocument/2006/customXml" ds:itemID="{619473CE-5521-4079-A20F-7DFC0D01E277}">
  <ds:schemaRefs/>
</ds:datastoreItem>
</file>

<file path=customXml/itemProps20.xml><?xml version="1.0" encoding="utf-8"?>
<ds:datastoreItem xmlns:ds="http://schemas.openxmlformats.org/officeDocument/2006/customXml" ds:itemID="{85CF1A10-070C-47FC-AABB-A43ABDA2A4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 Report</vt:lpstr>
      <vt:lpstr>Dashboard</vt:lpstr>
      <vt:lpstr>P. Satisfaction Rate</vt:lpstr>
      <vt:lpstr>Avg.Wait Time</vt:lpstr>
      <vt:lpstr>Daily patient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prashik bhagat ME DSY 2021</dc:creator>
  <cp:lastModifiedBy>prashik bhagat ME DSY 2021</cp:lastModifiedBy>
  <dcterms:created xsi:type="dcterms:W3CDTF">2025-12-05T09:10:20Z</dcterms:created>
  <dcterms:modified xsi:type="dcterms:W3CDTF">2025-12-06T16:36:19Z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0x010100FCBA7AAA6FAB944DB3585258D3C8CB16</vt:lpwstr>
  </property>
</Properties>
</file>